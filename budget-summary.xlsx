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งบประมา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TH SarabunPSK"/>
      <b val="1"/>
      <sz val="18"/>
    </font>
    <font>
      <name val="TH SarabunPSK"/>
      <b val="1"/>
      <sz val="14"/>
    </font>
    <font>
      <name val="TH SarabunPSK"/>
      <i val="1"/>
      <color rgb="00666666"/>
      <sz val="12"/>
    </font>
    <font>
      <name val="TH SarabunPSK"/>
      <b val="1"/>
      <color rgb="00FFFFFF"/>
      <sz val="14"/>
    </font>
    <font>
      <name val="TH SarabunPSK"/>
      <sz val="14"/>
    </font>
    <font>
      <name val="TH SarabunPSK"/>
      <i val="1"/>
      <color rgb="00888888"/>
      <sz val="12"/>
    </font>
    <font>
      <name val="TH SarabunPSK"/>
      <b val="1"/>
      <sz val="16"/>
    </font>
    <font>
      <name val="TH SarabunPSK"/>
      <b val="1"/>
      <color rgb="00FF0000"/>
      <sz val="12"/>
    </font>
    <font>
      <name val="TH SarabunPSK"/>
      <sz val="13"/>
    </font>
  </fonts>
  <fills count="9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2" borderId="1" applyAlignment="1" pivotButton="0" quotePrefix="0" xfId="0">
      <alignment horizontal="right"/>
    </xf>
    <xf numFmtId="0" fontId="3" fillId="0" borderId="0" pivotButton="0" quotePrefix="0" xfId="0"/>
    <xf numFmtId="3" fontId="2" fillId="0" borderId="0" applyAlignment="1" pivotButton="0" quotePrefix="0" xfId="0">
      <alignment horizontal="right"/>
    </xf>
    <xf numFmtId="164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0" fillId="4" borderId="1" pivotButton="0" quotePrefix="0" xfId="0"/>
    <xf numFmtId="0" fontId="5" fillId="0" borderId="1" applyAlignment="1" pivotButton="0" quotePrefix="0" xfId="0">
      <alignment vertical="center"/>
    </xf>
    <xf numFmtId="3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0" fontId="2" fillId="5" borderId="1" pivotButton="0" quotePrefix="0" xfId="0"/>
    <xf numFmtId="0" fontId="0" fillId="5" borderId="1" pivotButton="0" quotePrefix="0" xfId="0"/>
    <xf numFmtId="3" fontId="5" fillId="2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3" fontId="2" fillId="6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0" fontId="2" fillId="7" borderId="1" pivotButton="0" quotePrefix="0" xfId="0"/>
    <xf numFmtId="0" fontId="0" fillId="7" borderId="1" pivotButton="0" quotePrefix="0" xfId="0"/>
    <xf numFmtId="0" fontId="5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3" fontId="6" fillId="0" borderId="0" pivotButton="0" quotePrefix="0" xfId="0"/>
    <xf numFmtId="0" fontId="7" fillId="8" borderId="1" applyAlignment="1" pivotButton="0" quotePrefix="0" xfId="0">
      <alignment vertical="center"/>
    </xf>
    <xf numFmtId="3" fontId="7" fillId="8" borderId="1" applyAlignment="1" pivotButton="0" quotePrefix="0" xfId="0">
      <alignment vertical="center"/>
    </xf>
    <xf numFmtId="164" fontId="7" fillId="8" borderId="1" applyAlignment="1" pivotButton="0" quotePrefix="0" xfId="0">
      <alignment vertical="center"/>
    </xf>
    <xf numFmtId="3" fontId="8" fillId="0" borderId="0" pivotButton="0" quotePrefix="0" xfId="0"/>
    <xf numFmtId="0" fontId="9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8" customWidth="1" min="3" max="3"/>
    <col width="14" customWidth="1" min="4" max="4"/>
    <col width="18" customWidth="1" min="5" max="5"/>
    <col width="28" customWidth="1" min="6" max="6"/>
  </cols>
  <sheetData>
    <row r="1" ht="30" customHeight="1">
      <c r="A1" s="1" t="inlineStr">
        <is>
          <t>สรุปการจัดสรรงบประมาณ สำนักวิชาเทคโนโลยีดิจิทัลประยุกต์ ปีงบประมาณ 2569</t>
        </is>
      </c>
    </row>
    <row r="3">
      <c r="A3" s="2" t="inlineStr">
        <is>
          <t>งบประมาณรวมทั้งหมด (บาท):</t>
        </is>
      </c>
      <c r="C3" s="3" t="n">
        <v>1440000</v>
      </c>
      <c r="D3" s="4" t="inlineStr">
        <is>
          <t>&lt;-- ปรับงบรวมได้ (ไม่รวมห้องปฏิบัติการเฉพาะทาง)</t>
        </is>
      </c>
    </row>
    <row r="4">
      <c r="A4" s="2" t="inlineStr">
        <is>
          <t>W1 สัมมนา เครือข่ายอุตสาหกรรม และศิษย์เก่าสัมพันธ์ (บาท):</t>
        </is>
      </c>
      <c r="C4" s="3" t="n">
        <v>404000</v>
      </c>
      <c r="D4" s="4" t="inlineStr">
        <is>
          <t>&lt;-- ปรับงบ W1 ได้</t>
        </is>
      </c>
    </row>
    <row r="5">
      <c r="A5" s="2" t="inlineStr">
        <is>
          <t>คงเหลือสำหรับทีมและหลักสูตร:</t>
        </is>
      </c>
      <c r="C5" s="5">
        <f>C3-C4</f>
        <v/>
      </c>
      <c r="D5" s="6">
        <f>C5/C3</f>
        <v/>
      </c>
    </row>
    <row r="7" ht="25" customHeight="1">
      <c r="A7" s="7" t="inlineStr">
        <is>
          <t>#</t>
        </is>
      </c>
      <c r="B7" s="7" t="inlineStr">
        <is>
          <t>รายการ</t>
        </is>
      </c>
      <c r="C7" s="7" t="inlineStr">
        <is>
          <t>งบประมาณ (บาท)</t>
        </is>
      </c>
      <c r="D7" s="7" t="inlineStr">
        <is>
          <t>% ของงบรวม</t>
        </is>
      </c>
      <c r="E7" s="7" t="inlineStr">
        <is>
          <t>จำนวนนักศึกษา</t>
        </is>
      </c>
      <c r="F7" s="7" t="inlineStr">
        <is>
          <t>เสาหลัก IIC</t>
        </is>
      </c>
    </row>
    <row r="8">
      <c r="A8" s="8" t="inlineStr">
        <is>
          <t>แผนงานระดับสำนักวิชา</t>
        </is>
      </c>
      <c r="B8" s="29" t="n"/>
      <c r="C8" s="29" t="n"/>
      <c r="D8" s="29" t="n"/>
      <c r="E8" s="29" t="n"/>
      <c r="F8" s="30" t="n"/>
    </row>
    <row r="9">
      <c r="A9" s="10" t="inlineStr">
        <is>
          <t>W1</t>
        </is>
      </c>
      <c r="B9" s="10" t="inlineStr">
        <is>
          <t>สัมมนา เครือข่ายภาคอุตสาหกรรม และศิษย์เก่าสัมพันธ์</t>
        </is>
      </c>
      <c r="C9" s="11">
        <f>C4</f>
        <v/>
      </c>
      <c r="D9" s="12">
        <f>C9/C$3</f>
        <v/>
      </c>
      <c r="E9" s="10" t="inlineStr">
        <is>
          <t>-</t>
        </is>
      </c>
      <c r="F9" s="10" t="inlineStr">
        <is>
          <t>ข้ามทีม</t>
        </is>
      </c>
    </row>
    <row r="11">
      <c r="A11" s="13" t="inlineStr">
        <is>
          <t>ทีม</t>
        </is>
      </c>
      <c r="B11" s="29" t="n"/>
      <c r="C11" s="29" t="n"/>
      <c r="D11" s="29" t="n"/>
      <c r="E11" s="29" t="n"/>
      <c r="F11" s="30" t="n"/>
    </row>
    <row r="12">
      <c r="A12" s="10" t="inlineStr">
        <is>
          <t>1</t>
        </is>
      </c>
      <c r="B12" s="10" t="inlineStr">
        <is>
          <t>ทีมวิจัย</t>
        </is>
      </c>
      <c r="C12" s="15" t="n">
        <v>252000</v>
      </c>
      <c r="D12" s="12">
        <f>C12/C$3</f>
        <v/>
      </c>
      <c r="E12" s="10" t="inlineStr">
        <is>
          <t>-</t>
        </is>
      </c>
      <c r="F12" s="10" t="inlineStr">
        <is>
          <t>วิจัยและนวัตกรรม</t>
        </is>
      </c>
    </row>
    <row r="13">
      <c r="A13" s="10" t="inlineStr">
        <is>
          <t>2</t>
        </is>
      </c>
      <c r="B13" s="10" t="inlineStr">
        <is>
          <t>ทีมบริการวิชาการ</t>
        </is>
      </c>
      <c r="C13" s="15" t="n">
        <v>175000</v>
      </c>
      <c r="D13" s="12">
        <f>C13/C$3</f>
        <v/>
      </c>
      <c r="E13" s="10" t="inlineStr">
        <is>
          <t>-</t>
        </is>
      </c>
      <c r="F13" s="10" t="inlineStr">
        <is>
          <t>พัฒนากำลังคน</t>
        </is>
      </c>
    </row>
    <row r="14">
      <c r="A14" s="10" t="inlineStr">
        <is>
          <t>3</t>
        </is>
      </c>
      <c r="B14" s="10" t="inlineStr">
        <is>
          <t>ทีมกิจกรรมนักศึกษา</t>
        </is>
      </c>
      <c r="C14" s="15" t="n">
        <v>130000</v>
      </c>
      <c r="D14" s="12">
        <f>C14/C$3</f>
        <v/>
      </c>
      <c r="E14" s="10" t="inlineStr">
        <is>
          <t>-</t>
        </is>
      </c>
      <c r="F14" s="10" t="inlineStr">
        <is>
          <t>ระบบนิเวศสตาร์ทอัพ</t>
        </is>
      </c>
    </row>
    <row r="15">
      <c r="A15" s="10" t="inlineStr">
        <is>
          <t>4</t>
        </is>
      </c>
      <c r="B15" s="10" t="inlineStr">
        <is>
          <t>ทีมวิเทศสัมพันธ์</t>
        </is>
      </c>
      <c r="C15" s="15" t="n">
        <v>119000</v>
      </c>
      <c r="D15" s="12">
        <f>C15/C$3</f>
        <v/>
      </c>
      <c r="E15" s="10" t="inlineStr">
        <is>
          <t>-</t>
        </is>
      </c>
      <c r="F15" s="10" t="inlineStr">
        <is>
          <t>ความร่วมมือระหว่างประเทศ</t>
        </is>
      </c>
    </row>
    <row r="16">
      <c r="A16" s="10" t="inlineStr">
        <is>
          <t>5</t>
        </is>
      </c>
      <c r="B16" s="10" t="inlineStr">
        <is>
          <t>ทีมประชาสัมพันธ์และสื่อสาร</t>
        </is>
      </c>
      <c r="C16" s="15" t="n">
        <v>80000</v>
      </c>
      <c r="D16" s="12">
        <f>C16/C$3</f>
        <v/>
      </c>
      <c r="E16" s="10" t="inlineStr">
        <is>
          <t>-</t>
        </is>
      </c>
      <c r="F16" s="10" t="inlineStr">
        <is>
          <t>แบรนด์และการเผยแพร่</t>
        </is>
      </c>
    </row>
    <row r="17">
      <c r="A17" s="16" t="n"/>
      <c r="B17" s="16" t="inlineStr">
        <is>
          <t>รวมย่อย ทีม</t>
        </is>
      </c>
      <c r="C17" s="17">
        <f>SUM(C12:C16)</f>
        <v/>
      </c>
      <c r="D17" s="18">
        <f>C17/C$3</f>
        <v/>
      </c>
      <c r="E17" s="16" t="n"/>
      <c r="F17" s="16" t="n"/>
    </row>
    <row r="19">
      <c r="A19" s="19" t="inlineStr">
        <is>
          <t>หลักสูตร (CE/MTA/SE/DTBI จัดสรรตามสัดส่วนนักศึกษา, DEC และบัณฑิตศึกษากำหนดตายตัว)</t>
        </is>
      </c>
      <c r="B19" s="29" t="n"/>
      <c r="C19" s="29" t="n"/>
      <c r="D19" s="29" t="n"/>
      <c r="E19" s="29" t="n"/>
      <c r="F19" s="30" t="n"/>
    </row>
    <row r="20">
      <c r="A20" s="10" t="inlineStr">
        <is>
          <t>6</t>
        </is>
      </c>
      <c r="B20" s="10" t="inlineStr">
        <is>
          <t>หลักสูตร CE (วิศวกรรมคอมพิวเตอร์)</t>
        </is>
      </c>
      <c r="C20" s="11">
        <f>ROUND(E20/(E$20+E$21+E$22+E$23)*(C$5-C$17-C$24-C$25),-3)</f>
        <v/>
      </c>
      <c r="D20" s="12">
        <f>C20/C$3</f>
        <v/>
      </c>
      <c r="E20" s="21" t="n">
        <v>693</v>
      </c>
      <c r="F20" s="10" t="inlineStr">
        <is>
          <t>สูง - หุ่นยนต์, ระบบฝังตัว</t>
        </is>
      </c>
    </row>
    <row r="21">
      <c r="A21" s="10" t="inlineStr">
        <is>
          <t>7</t>
        </is>
      </c>
      <c r="B21" s="10" t="inlineStr">
        <is>
          <t>หลักสูตร MTA (เทคโนโลยีมัลติมีเดียและการสร้างภาพเคลื่อนไหว)</t>
        </is>
      </c>
      <c r="C21" s="11">
        <f>ROUND(E21/(E$20+E$21+E$22+E$23)*(C$5-C$17-C$24-C$25),-3)</f>
        <v/>
      </c>
      <c r="D21" s="12">
        <f>C21/C$3</f>
        <v/>
      </c>
      <c r="E21" s="21" t="n">
        <v>495</v>
      </c>
      <c r="F21" s="10" t="inlineStr">
        <is>
          <t>ปานกลาง - Visualization</t>
        </is>
      </c>
    </row>
    <row r="22">
      <c r="A22" s="10" t="inlineStr">
        <is>
          <t>8</t>
        </is>
      </c>
      <c r="B22" s="10" t="inlineStr">
        <is>
          <t>หลักสูตร SE (วิศวกรรมซอฟต์แวร์)</t>
        </is>
      </c>
      <c r="C22" s="11">
        <f>ROUND(E22/(E$20+E$21+E$22+E$23)*(C$5-C$17-C$24-C$25),-3)</f>
        <v/>
      </c>
      <c r="D22" s="12">
        <f>C22/C$3</f>
        <v/>
      </c>
      <c r="E22" s="21" t="n">
        <v>467</v>
      </c>
      <c r="F22" s="10" t="inlineStr">
        <is>
          <t>สูง - ซอฟต์แวร์ AI</t>
        </is>
      </c>
    </row>
    <row r="23">
      <c r="A23" s="10" t="inlineStr">
        <is>
          <t>9</t>
        </is>
      </c>
      <c r="B23" s="10" t="inlineStr">
        <is>
          <t>หลักสูตร DTBI (เทคโนโลยีดิจิทัลเพื่อนวัตกรรมทางธุรกิจ)</t>
        </is>
      </c>
      <c r="C23" s="11">
        <f>ROUND(E23/(E$20+E$21+E$22+E$23)*(C$5-C$17-C$24-C$25),-3)</f>
        <v/>
      </c>
      <c r="D23" s="12">
        <f>C23/C$3</f>
        <v/>
      </c>
      <c r="E23" s="21" t="n">
        <v>304</v>
      </c>
      <c r="F23" s="10" t="inlineStr">
        <is>
          <t>ปานกลาง - ธุรกิจเทคโนโลยี</t>
        </is>
      </c>
    </row>
    <row r="24">
      <c r="A24" s="10" t="inlineStr">
        <is>
          <t>10</t>
        </is>
      </c>
      <c r="B24" s="10" t="inlineStr">
        <is>
          <t>หลักสูตร DEC (วิศวกรรมดิจิทัลและการสื่อสาร)</t>
        </is>
      </c>
      <c r="C24" s="15" t="n">
        <v>25000</v>
      </c>
      <c r="D24" s="12">
        <f>C24/C$3</f>
        <v/>
      </c>
      <c r="E24" s="21" t="n">
        <v>159</v>
      </c>
      <c r="F24" s="10" t="inlineStr">
        <is>
          <t>ปานกลาง - ระบบดิจิทัล</t>
        </is>
      </c>
    </row>
    <row r="25">
      <c r="A25" s="10" t="inlineStr">
        <is>
          <t>11</t>
        </is>
      </c>
      <c r="B25" s="10" t="inlineStr">
        <is>
          <t>หลักสูตรบัณฑิตศึกษา (DT + CE)</t>
        </is>
      </c>
      <c r="C25" s="15" t="n">
        <v>25000</v>
      </c>
      <c r="D25" s="12">
        <f>C25/C$3</f>
        <v/>
      </c>
      <c r="E25" s="21" t="n">
        <v>31</v>
      </c>
      <c r="F25" s="10" t="inlineStr">
        <is>
          <t>สูง - นักศึกษาวิจัย</t>
        </is>
      </c>
    </row>
    <row r="26">
      <c r="A26" s="16" t="n"/>
      <c r="B26" s="16" t="inlineStr">
        <is>
          <t>รวมย่อย หลักสูตร</t>
        </is>
      </c>
      <c r="C26" s="17">
        <f>SUM(C20:C25)</f>
        <v/>
      </c>
      <c r="D26" s="18">
        <f>C26/C$3</f>
        <v/>
      </c>
      <c r="E26" s="22">
        <f>SUM(E20:E25)</f>
        <v/>
      </c>
      <c r="F26" s="16" t="n"/>
    </row>
    <row r="27">
      <c r="B27" s="4" t="inlineStr">
        <is>
          <t>ส่วนต่างจากการปัดเศษ</t>
        </is>
      </c>
      <c r="C27" s="23">
        <f>C$3-C9-C17-C26</f>
        <v/>
      </c>
    </row>
    <row r="29" ht="28" customHeight="1">
      <c r="A29" s="24" t="n"/>
      <c r="B29" s="24" t="inlineStr">
        <is>
          <t>รวมทั้งสิ้น</t>
        </is>
      </c>
      <c r="C29" s="25">
        <f>C9+C17+C26</f>
        <v/>
      </c>
      <c r="D29" s="26">
        <f>C29/C$3</f>
        <v/>
      </c>
      <c r="E29" s="24" t="n"/>
      <c r="F29" s="24" t="n"/>
    </row>
    <row r="30">
      <c r="B30" s="4" t="inlineStr">
        <is>
          <t>ตรวจสอบ (ต้อง = 0)</t>
        </is>
      </c>
      <c r="C30" s="27">
        <f>C$3-C29</f>
        <v/>
      </c>
    </row>
    <row r="32">
      <c r="A32" s="2" t="inlineStr">
        <is>
          <t>คำแนะนำการปรับงบประมาณ:</t>
        </is>
      </c>
    </row>
    <row r="33">
      <c r="A33" s="28" t="inlineStr">
        <is>
          <t>1. ปรับงบรวมทั้งหมดได้ที่ C3 (เซลล์สีเหลือง)</t>
        </is>
      </c>
    </row>
    <row r="34">
      <c r="A34" s="28" t="inlineStr">
        <is>
          <t>2. ปรับงบ W1 (สัมมนาและเครือข่ายอุตสาหกรรม) ที่ C4</t>
        </is>
      </c>
    </row>
    <row r="35">
      <c r="A35" s="28" t="inlineStr">
        <is>
          <t>3. ปรับงบแต่ละทีมได้ที่ C12:C16</t>
        </is>
      </c>
    </row>
    <row r="36">
      <c r="A36" s="28" t="inlineStr">
        <is>
          <t>4. งบ DEC และบัณฑิตศึกษา กำหนดตายตัวที่ C24:C25</t>
        </is>
      </c>
    </row>
    <row r="37">
      <c r="A37" s="28" t="inlineStr">
        <is>
          <t>5. งบ CE, MTA, SE, DTBI = จัดสรรตามสัดส่วนนักศึกษาจากงบคงเหลืออัตโนมัติ</t>
        </is>
      </c>
    </row>
    <row r="38">
      <c r="A38" s="28" t="inlineStr">
        <is>
          <t>6. ปรับจำนวนนักศึกษาได้ที่คอลัมน์ E -- งบหลักสูตรจะปรับตาม</t>
        </is>
      </c>
    </row>
    <row r="39">
      <c r="A39" s="28" t="inlineStr">
        <is>
          <t>7. เซลล์สีเหลือง = ปรับได้, เซลล์ขาว = คำนวณอัตโนมัติ</t>
        </is>
      </c>
    </row>
  </sheetData>
  <mergeCells count="17">
    <mergeCell ref="A4:B4"/>
    <mergeCell ref="A33:F33"/>
    <mergeCell ref="A11:F11"/>
    <mergeCell ref="A38:F38"/>
    <mergeCell ref="A19:F19"/>
    <mergeCell ref="A36:F36"/>
    <mergeCell ref="A1:F1"/>
    <mergeCell ref="D4:F4"/>
    <mergeCell ref="A32:F32"/>
    <mergeCell ref="A5:B5"/>
    <mergeCell ref="A8:F8"/>
    <mergeCell ref="A37:F37"/>
    <mergeCell ref="D3:F3"/>
    <mergeCell ref="A34:F34"/>
    <mergeCell ref="A35:F35"/>
    <mergeCell ref="A39:F39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2026-03-02T23:03:44Z</dcterms:created>
  <dcterms:modified xmlns:dcterms="http://purl.org/dc/terms/" xmlns:xsi="http://www.w3.org/2001/XMLSchema-instance" xsi:type="dcterms:W3CDTF">2026-03-02T23:10:23Z</dcterms:modified>
</cp:coreProperties>
</file>