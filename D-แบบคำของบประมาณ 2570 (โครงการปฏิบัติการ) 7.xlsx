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โครงการ" sheetId="1" state="visible" r:id="rId1"/>
    <sheet xmlns:r="http://schemas.openxmlformats.org/officeDocument/2006/relationships" name="Claude Cache" sheetId="2" state="hidden" r:id="rId2"/>
    <sheet xmlns:r="http://schemas.openxmlformats.org/officeDocument/2006/relationships" name="งบประมาณ" sheetId="3" state="visible" r:id="rId3"/>
    <sheet xmlns:r="http://schemas.openxmlformats.org/officeDocument/2006/relationships" name="แผนดำเนินงาน-แผนใช้จ่าย" sheetId="4" state="visible" r:id="rId4"/>
    <sheet xmlns:r="http://schemas.openxmlformats.org/officeDocument/2006/relationships" name="รายงานQ1" sheetId="5" state="visible" r:id="rId5"/>
    <sheet xmlns:r="http://schemas.openxmlformats.org/officeDocument/2006/relationships" name="รายงานQ2" sheetId="6" state="visible" r:id="rId6"/>
    <sheet xmlns:r="http://schemas.openxmlformats.org/officeDocument/2006/relationships" name="รายงานQ3" sheetId="7" state="visible" r:id="rId7"/>
    <sheet xmlns:r="http://schemas.openxmlformats.org/officeDocument/2006/relationships" name="รายงานQ4" sheetId="8" state="visible" r:id="rId8"/>
    <sheet xmlns:r="http://schemas.openxmlformats.org/officeDocument/2006/relationships" name="Final Report" sheetId="9" state="visible" r:id="rId9"/>
    <sheet xmlns:r="http://schemas.openxmlformats.org/officeDocument/2006/relationships" name="เอกสารแนบ Final Report" sheetId="10" state="visible" r:id="rId10"/>
    <sheet xmlns:r="http://schemas.openxmlformats.org/officeDocument/2006/relationships" name="Listความเชื่อมโยง" sheetId="11" state="hidden" r:id="rId11"/>
    <sheet xmlns:r="http://schemas.openxmlformats.org/officeDocument/2006/relationships" name="รายการงบประมาณ" sheetId="12" state="hidden" r:id="rId12"/>
    <sheet xmlns:r="http://schemas.openxmlformats.org/officeDocument/2006/relationships" name="REF" sheetId="13" state="hidden" r:id="rId13"/>
    <sheet xmlns:r="http://schemas.openxmlformats.org/officeDocument/2006/relationships" name="Listคก.งาน" sheetId="14" state="hidden" r:id="rId14"/>
    <sheet xmlns:r="http://schemas.openxmlformats.org/officeDocument/2006/relationships" name="ListFP" sheetId="15" state="hidden" r:id="rId15"/>
    <sheet xmlns:r="http://schemas.openxmlformats.org/officeDocument/2006/relationships" name="ListCost_Center" sheetId="16" state="hidden" r:id="rId16"/>
    <sheet xmlns:r="http://schemas.openxmlformats.org/officeDocument/2006/relationships" name="List-KPI" sheetId="17" state="hidden" r:id="rId17"/>
    <sheet xmlns:r="http://schemas.openxmlformats.org/officeDocument/2006/relationships" name="dropdown_plan6" sheetId="18" state="hidden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 H:mm:ss"/>
    <numFmt numFmtId="165" formatCode="d/M/yyyy, H:mm:ss"/>
  </numFmts>
  <fonts count="62">
    <font>
      <name val="Arial"/>
      <color rgb="FF000000"/>
      <sz val="10"/>
    </font>
    <font>
      <name val="Sarabun"/>
      <b val="1"/>
      <sz val="12"/>
    </font>
    <font>
      <name val="Sarabun"/>
      <sz val="12"/>
    </font>
    <font>
      <name val="Sarabun"/>
      <color rgb="FFFF0000"/>
      <sz val="12"/>
    </font>
    <font>
      <name val="Sarabun"/>
      <b val="1"/>
      <color rgb="FF000000"/>
      <sz val="10"/>
    </font>
    <font/>
    <font>
      <name val="Sarabun"/>
      <color rgb="FF000000"/>
      <sz val="10"/>
    </font>
    <font>
      <name val="Sarabun"/>
      <b val="1"/>
      <color rgb="FFFF0000"/>
      <sz val="12"/>
    </font>
    <font>
      <name val="Sarabun"/>
      <b val="1"/>
      <color rgb="FF00FF00"/>
      <sz val="12"/>
    </font>
    <font>
      <name val="Sarabun"/>
      <b val="1"/>
      <color rgb="FFFFFFFF"/>
      <sz val="12"/>
    </font>
    <font>
      <name val="Sarabun"/>
      <color rgb="FFFFFFFF"/>
      <sz val="12"/>
    </font>
    <font>
      <name val="Sarabun"/>
      <b val="1"/>
      <sz val="11"/>
    </font>
    <font>
      <name val="Sarabun"/>
      <sz val="11"/>
    </font>
    <font>
      <name val="Sarabun"/>
      <b val="1"/>
      <color rgb="FF0000FF"/>
      <sz val="11"/>
    </font>
    <font>
      <name val="Sarabun"/>
      <b val="1"/>
      <color rgb="FF0000FF"/>
      <sz val="10"/>
      <u val="single"/>
    </font>
    <font>
      <name val="Sarabun"/>
      <b val="1"/>
      <color rgb="FF0000FF"/>
      <sz val="12"/>
    </font>
    <font>
      <name val="Sarabun"/>
      <color rgb="FF000000"/>
      <sz val="11"/>
    </font>
    <font>
      <name val="Sarabun"/>
      <color rgb="FFFFFFFF"/>
      <sz val="10"/>
    </font>
    <font>
      <name val="Sarabun"/>
      <i val="1"/>
      <color rgb="FF666666"/>
      <sz val="9"/>
    </font>
    <font>
      <name val="Sarabun"/>
      <b val="1"/>
      <color rgb="FFEFEFEF"/>
      <sz val="11"/>
    </font>
    <font>
      <name val="Sarabun"/>
      <b val="1"/>
      <color rgb="FF000000"/>
      <sz val="11"/>
    </font>
    <font>
      <name val="Sarabun"/>
      <color rgb="FF000000"/>
      <sz val="8"/>
    </font>
    <font>
      <name val="Sarabun"/>
      <color rgb="FFFF0000"/>
      <sz val="9"/>
    </font>
    <font>
      <name val="Sarabun"/>
      <color rgb="FF0000FF"/>
      <sz val="11"/>
    </font>
    <font>
      <name val="Sarabun"/>
      <color rgb="FFFF0000"/>
      <sz val="11"/>
    </font>
    <font>
      <name val="Sarabun"/>
      <color rgb="FFE0F7FA"/>
      <sz val="9"/>
    </font>
    <font>
      <name val="Sarabun"/>
      <color rgb="FFE0F7FA"/>
      <sz val="11"/>
    </font>
    <font>
      <name val="Sarabun"/>
      <color rgb="FFFF0000"/>
      <sz val="8"/>
    </font>
    <font>
      <name val="Sarabun"/>
      <i val="1"/>
      <color rgb="FFFF0000"/>
      <sz val="10"/>
    </font>
    <font>
      <name val="Sarabun"/>
      <b val="1"/>
      <sz val="9"/>
    </font>
    <font>
      <name val="Sarabun"/>
      <color rgb="FFFFFFFF"/>
      <sz val="11"/>
    </font>
    <font>
      <name val="Sarabun"/>
      <i val="1"/>
      <color rgb="FFFF0000"/>
      <sz val="9"/>
    </font>
    <font>
      <name val="Sarabun"/>
      <color rgb="FFFF0000"/>
      <sz val="10"/>
    </font>
    <font>
      <name val="Sarabun"/>
      <i val="1"/>
      <color rgb="FFFFFFFF"/>
      <sz val="10"/>
    </font>
    <font>
      <name val="Arial"/>
      <color rgb="FFFFFFFF"/>
      <sz val="10"/>
    </font>
    <font>
      <b val="1"/>
    </font>
    <font>
      <name val="Sarabun"/>
      <b val="1"/>
      <sz val="10"/>
    </font>
    <font>
      <name val="Sarabun"/>
      <b val="1"/>
      <sz val="15"/>
    </font>
    <font>
      <name val="Sarabun"/>
      <sz val="10"/>
    </font>
    <font>
      <name val="Sarabun"/>
      <b val="1"/>
      <color rgb="FFFFFFFF"/>
      <sz val="11"/>
    </font>
    <font>
      <name val="Sarabun"/>
    </font>
    <font>
      <name val="Sarabun"/>
      <b val="1"/>
    </font>
    <font>
      <name val="Sarabun"/>
      <b val="1"/>
      <color rgb="FF000000"/>
    </font>
    <font>
      <name val="Sarabun"/>
      <color rgb="FFFFFFFF"/>
      <sz val="6"/>
    </font>
    <font>
      <name val="Sarabun"/>
      <sz val="6"/>
    </font>
    <font>
      <name val="Sarabun"/>
      <b val="1"/>
      <color rgb="FFFFFF00"/>
      <sz val="11"/>
    </font>
    <font>
      <name val="Sarabun"/>
      <color rgb="FF000000"/>
    </font>
    <font>
      <name val="Sarabun"/>
      <sz val="9"/>
    </font>
    <font>
      <name val="Sarabun"/>
      <color rgb="FFFFFFFF"/>
    </font>
    <font>
      <name val="Sarabun"/>
      <color rgb="FF0000FF"/>
      <sz val="12"/>
      <u val="single"/>
    </font>
    <font>
      <name val="Sarabun"/>
      <color rgb="FF000000"/>
      <sz val="12"/>
    </font>
    <font>
      <name val="Sarabun"/>
      <b val="1"/>
      <color rgb="FF000000"/>
      <sz val="12"/>
    </font>
    <font>
      <name val="Sarabun"/>
      <color rgb="FF0000FF"/>
      <sz val="12"/>
      <u val="single"/>
    </font>
    <font>
      <name val="Sarabun"/>
      <b val="1"/>
      <color rgb="FFFF0000"/>
      <sz val="9"/>
    </font>
    <font>
      <name val="Sarabun"/>
      <b val="1"/>
      <color rgb="FF000000"/>
      <sz val="7"/>
    </font>
    <font>
      <name val="Sarabun"/>
      <b val="1"/>
      <color rgb="FFFF0000"/>
      <sz val="14"/>
    </font>
    <font>
      <name val="Sarabun"/>
      <b val="1"/>
      <color rgb="FFFF0000"/>
      <sz val="11"/>
    </font>
    <font>
      <name val="Sarabun"/>
      <b val="1"/>
      <color rgb="FFFF0000"/>
    </font>
    <font>
      <name val="Sarabun"/>
      <b val="1"/>
      <color rgb="FFFFFFFF"/>
    </font>
    <font>
      <name val="Arial"/>
    </font>
    <font>
      <name val="Sarabun"/>
      <b val="1"/>
      <color rgb="FFFFFFFF"/>
      <sz val="10"/>
    </font>
    <font>
      <name val="Sarabun"/>
      <color rgb="FF0000FF"/>
      <sz val="10"/>
      <u val="single"/>
    </font>
  </fonts>
  <fills count="43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DD0E1"/>
        <bgColor rgb="FF4DD0E1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E91D63"/>
        <bgColor rgb="FFE91D63"/>
      </patternFill>
    </fill>
    <fill>
      <patternFill patternType="solid">
        <fgColor rgb="FFF4C7C3"/>
        <bgColor rgb="FFF4C7C3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EBF0FA"/>
        <bgColor rgb="FFEBF0FA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FFEC"/>
        <bgColor rgb="FFD9FFEC"/>
      </patternFill>
    </fill>
    <fill>
      <patternFill patternType="solid">
        <fgColor rgb="FFE4EBF9"/>
        <bgColor rgb="FFE4EBF9"/>
      </patternFill>
    </fill>
    <fill>
      <patternFill patternType="solid">
        <fgColor rgb="FF6D9EEB"/>
        <bgColor rgb="FF6D9EEB"/>
      </patternFill>
    </fill>
    <fill>
      <patternFill patternType="solid">
        <fgColor rgb="FFE5E5E5"/>
        <bgColor rgb="FFE5E5E5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AFAFA"/>
        <bgColor rgb="FFFAFAFA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404040"/>
        <bgColor rgb="FF404040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</border>
    <border>
      <right/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666666"/>
      </bottom>
    </border>
    <border>
      <top style="thin">
        <color rgb="FF000000"/>
      </top>
      <bottom style="thin">
        <color rgb="FF666666"/>
      </bottom>
    </border>
    <border>
      <right style="thin">
        <color rgb="FF000000"/>
      </right>
      <top style="thin">
        <color rgb="FF000000"/>
      </top>
      <bottom style="thin">
        <color rgb="FF666666"/>
      </bottom>
    </border>
    <border>
      <left style="thin">
        <color rgb="FF000000"/>
      </left>
      <top style="thin">
        <color rgb="FF666666"/>
      </top>
      <bottom style="thin">
        <color rgb="FF000000"/>
      </bottom>
    </border>
    <border>
      <top style="thin">
        <color rgb="FF666666"/>
      </top>
      <bottom style="thin">
        <color rgb="FF000000"/>
      </bottom>
    </border>
    <border>
      <right style="thin">
        <color rgb="FF000000"/>
      </right>
      <top style="thin">
        <color rgb="FF666666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thin">
        <color rgb="FFC9DAF8"/>
      </right>
      <top style="thin">
        <color rgb="FF000000"/>
      </top>
      <bottom style="thin">
        <color rgb="FF000000"/>
      </bottom>
    </border>
    <border>
      <left style="thin">
        <color rgb="FFC9DAF8"/>
      </left>
      <right style="thin">
        <color rgb="FFC9DAF8"/>
      </right>
      <top style="thin">
        <color rgb="FF000000"/>
      </top>
      <bottom style="thin">
        <color rgb="FF000000"/>
      </bottom>
    </border>
    <border>
      <left style="thin">
        <color rgb="FFC9DAF8"/>
      </left>
      <bottom style="thin">
        <color rgb="FF000000"/>
      </bottom>
    </border>
    <border>
      <right style="dotted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666666"/>
      </top>
      <bottom style="thin">
        <color rgb="FF000000"/>
      </bottom>
    </border>
    <border>
      <top style="thin">
        <color rgb="FF666666"/>
      </top>
    </border>
    <border>
      <right style="thin">
        <color rgb="FF000000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</border>
    <border>
      <left style="thin">
        <color rgb="FFC9DAF8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C9DAF8"/>
      </right>
      <top style="thin">
        <color rgb="FF000000"/>
      </top>
      <bottom style="thin">
        <color rgb="FF000000"/>
      </bottom>
    </border>
    <border>
      <right style="thin">
        <color rgb="FFC9DAF8"/>
      </right>
      <top style="thin">
        <color rgb="FF000000"/>
      </top>
    </border>
  </borders>
  <cellStyleXfs count="1">
    <xf numFmtId="0" fontId="0" fillId="0" borderId="0"/>
  </cellStyleXfs>
  <cellXfs count="67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1" fillId="3" borderId="0" applyAlignment="1" pivotButton="0" quotePrefix="0" xfId="0">
      <alignment horizontal="center" vertical="bottom"/>
    </xf>
    <xf numFmtId="0" fontId="2" fillId="2" borderId="1" applyAlignment="1" pivotButton="0" quotePrefix="0" xfId="0">
      <alignment vertical="center"/>
    </xf>
    <xf numFmtId="4" fontId="1" fillId="4" borderId="0" applyAlignment="1" pivotButton="0" quotePrefix="0" xfId="0">
      <alignment horizontal="center" vertical="top" wrapText="1"/>
    </xf>
    <xf numFmtId="3" fontId="3" fillId="5" borderId="2" applyAlignment="1" pivotButton="0" quotePrefix="0" xfId="0">
      <alignment horizontal="center" vertical="center" wrapText="1"/>
    </xf>
    <xf numFmtId="3" fontId="4" fillId="6" borderId="0" applyAlignment="1" pivotButton="0" quotePrefix="0" xfId="0">
      <alignment horizontal="center" vertical="top"/>
    </xf>
    <xf numFmtId="0" fontId="2" fillId="2" borderId="3" applyAlignment="1" pivotButton="0" quotePrefix="0" xfId="0">
      <alignment vertical="center"/>
    </xf>
    <xf numFmtId="0" fontId="5" fillId="0" borderId="2" pivotButton="0" quotePrefix="0" xfId="0"/>
    <xf numFmtId="0" fontId="1" fillId="2" borderId="0" applyAlignment="1" pivotButton="0" quotePrefix="0" xfId="0">
      <alignment horizontal="center" vertical="center"/>
    </xf>
    <xf numFmtId="4" fontId="2" fillId="2" borderId="0" applyAlignment="1" pivotButton="0" quotePrefix="0" xfId="0">
      <alignment vertical="center"/>
    </xf>
    <xf numFmtId="4" fontId="2" fillId="2" borderId="2" applyAlignment="1" pivotButton="0" quotePrefix="0" xfId="0">
      <alignment vertical="center"/>
    </xf>
    <xf numFmtId="3" fontId="6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 vertical="center"/>
    </xf>
    <xf numFmtId="49" fontId="1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9" fillId="2" borderId="4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3" fontId="6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top"/>
    </xf>
    <xf numFmtId="0" fontId="11" fillId="7" borderId="0" applyAlignment="1" pivotButton="0" quotePrefix="0" xfId="0">
      <alignment vertical="top"/>
    </xf>
    <xf numFmtId="0" fontId="12" fillId="8" borderId="0" applyAlignment="1" pivotButton="0" quotePrefix="0" xfId="0">
      <alignment horizontal="center" vertical="center"/>
    </xf>
    <xf numFmtId="0" fontId="13" fillId="7" borderId="0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12" fillId="7" borderId="0" applyAlignment="1" pivotButton="0" quotePrefix="0" xfId="0">
      <alignment vertical="center"/>
    </xf>
    <xf numFmtId="4" fontId="14" fillId="9" borderId="5" applyAlignment="1" pivotButton="0" quotePrefix="0" xfId="0">
      <alignment vertical="center"/>
    </xf>
    <xf numFmtId="4" fontId="15" fillId="9" borderId="6" applyAlignment="1" pivotButton="0" quotePrefix="0" xfId="0">
      <alignment vertical="center"/>
    </xf>
    <xf numFmtId="49" fontId="16" fillId="6" borderId="7" applyAlignment="1" pivotButton="0" quotePrefix="0" xfId="0">
      <alignment horizontal="left" vertical="top" wrapText="1"/>
    </xf>
    <xf numFmtId="0" fontId="5" fillId="0" borderId="8" pivotButton="0" quotePrefix="0" xfId="0"/>
    <xf numFmtId="0" fontId="5" fillId="0" borderId="9" pivotButton="0" quotePrefix="0" xfId="0"/>
    <xf numFmtId="4" fontId="6" fillId="0" borderId="0" applyAlignment="1" pivotButton="0" quotePrefix="0" xfId="0">
      <alignment vertical="center"/>
    </xf>
    <xf numFmtId="4" fontId="17" fillId="0" borderId="0" applyAlignment="1" pivotButton="0" quotePrefix="0" xfId="0">
      <alignment vertical="center"/>
    </xf>
    <xf numFmtId="3" fontId="17" fillId="0" borderId="0" applyAlignment="1" pivotButton="0" quotePrefix="0" xfId="0">
      <alignment horizontal="center" vertical="top"/>
    </xf>
    <xf numFmtId="0" fontId="11" fillId="7" borderId="0" applyAlignment="1" pivotButton="0" quotePrefix="0" xfId="0">
      <alignment vertical="top"/>
    </xf>
    <xf numFmtId="49" fontId="16" fillId="6" borderId="7" applyAlignment="1" pivotButton="0" quotePrefix="0" xfId="0">
      <alignment horizontal="left" vertical="center" wrapText="1"/>
    </xf>
    <xf numFmtId="0" fontId="18" fillId="7" borderId="0" applyAlignment="1" pivotButton="0" quotePrefix="0" xfId="0">
      <alignment vertical="center"/>
    </xf>
    <xf numFmtId="0" fontId="19" fillId="7" borderId="0" applyAlignment="1" pivotButton="0" quotePrefix="0" xfId="0">
      <alignment horizontal="center" vertical="center"/>
    </xf>
    <xf numFmtId="49" fontId="12" fillId="6" borderId="10" applyAlignment="1" pivotButton="0" quotePrefix="0" xfId="0">
      <alignment horizontal="center" vertical="center"/>
    </xf>
    <xf numFmtId="49" fontId="12" fillId="7" borderId="0" applyAlignment="1" pivotButton="0" quotePrefix="0" xfId="0">
      <alignment vertical="center"/>
    </xf>
    <xf numFmtId="0" fontId="20" fillId="7" borderId="0" applyAlignment="1" pivotButton="0" quotePrefix="0" xfId="0">
      <alignment horizontal="center" vertical="top"/>
    </xf>
    <xf numFmtId="0" fontId="20" fillId="7" borderId="0" applyAlignment="1" pivotButton="0" quotePrefix="0" xfId="0">
      <alignment vertical="top"/>
    </xf>
    <xf numFmtId="49" fontId="12" fillId="6" borderId="7" applyAlignment="1" pivotButton="0" quotePrefix="0" xfId="0">
      <alignment vertical="center"/>
    </xf>
    <xf numFmtId="0" fontId="21" fillId="7" borderId="0" applyAlignment="1" pivotButton="0" quotePrefix="0" xfId="0">
      <alignment vertical="center"/>
    </xf>
    <xf numFmtId="0" fontId="16" fillId="7" borderId="0" applyAlignment="1" pivotButton="0" quotePrefix="0" xfId="0">
      <alignment vertical="center"/>
    </xf>
    <xf numFmtId="49" fontId="12" fillId="7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23" fillId="7" borderId="0" applyAlignment="1" pivotButton="0" quotePrefix="0" xfId="0">
      <alignment horizontal="center" vertical="center"/>
    </xf>
    <xf numFmtId="0" fontId="23" fillId="7" borderId="0" applyAlignment="1" pivotButton="0" quotePrefix="0" xfId="0">
      <alignment horizontal="center" vertical="center"/>
    </xf>
    <xf numFmtId="4" fontId="6" fillId="0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top"/>
    </xf>
    <xf numFmtId="0" fontId="16" fillId="7" borderId="0" applyAlignment="1" pivotButton="0" quotePrefix="0" xfId="0">
      <alignment vertical="top"/>
    </xf>
    <xf numFmtId="49" fontId="16" fillId="0" borderId="7" applyAlignment="1" pivotButton="0" quotePrefix="0" xfId="0">
      <alignment horizontal="left" vertical="center" wrapText="1"/>
    </xf>
    <xf numFmtId="0" fontId="24" fillId="7" borderId="0" applyAlignment="1" pivotButton="0" quotePrefix="0" xfId="0">
      <alignment horizontal="left" vertical="center"/>
    </xf>
    <xf numFmtId="49" fontId="16" fillId="6" borderId="11" applyAlignment="1" pivotButton="0" quotePrefix="0" xfId="0">
      <alignment horizontal="left" vertical="center" wrapText="1"/>
    </xf>
    <xf numFmtId="0" fontId="5" fillId="0" borderId="12" pivotButton="0" quotePrefix="0" xfId="0"/>
    <xf numFmtId="0" fontId="5" fillId="0" borderId="13" pivotButton="0" quotePrefix="0" xfId="0"/>
    <xf numFmtId="0" fontId="24" fillId="7" borderId="0" applyAlignment="1" pivotButton="0" quotePrefix="0" xfId="0">
      <alignment horizontal="center" vertical="top"/>
    </xf>
    <xf numFmtId="0" fontId="12" fillId="7" borderId="0" applyAlignment="1" pivotButton="0" quotePrefix="0" xfId="0">
      <alignment vertical="center"/>
    </xf>
    <xf numFmtId="0" fontId="25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top"/>
    </xf>
    <xf numFmtId="0" fontId="16" fillId="7" borderId="0" applyAlignment="1" pivotButton="0" quotePrefix="0" xfId="0">
      <alignment vertical="center"/>
    </xf>
    <xf numFmtId="0" fontId="26" fillId="7" borderId="0" applyAlignment="1" pivotButton="0" quotePrefix="0" xfId="0">
      <alignment vertical="center"/>
    </xf>
    <xf numFmtId="0" fontId="12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top"/>
    </xf>
    <xf numFmtId="0" fontId="2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vertical="top"/>
    </xf>
    <xf numFmtId="0" fontId="26" fillId="7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left" vertical="center"/>
    </xf>
    <xf numFmtId="49" fontId="12" fillId="0" borderId="7" applyAlignment="1" pivotButton="0" quotePrefix="0" xfId="0">
      <alignment vertical="center" wrapText="1"/>
    </xf>
    <xf numFmtId="0" fontId="16" fillId="6" borderId="14" applyAlignment="1" pivotButton="0" quotePrefix="0" xfId="0">
      <alignment horizontal="left" vertical="center" wrapText="1"/>
    </xf>
    <xf numFmtId="0" fontId="5" fillId="0" borderId="15" pivotButton="0" quotePrefix="0" xfId="0"/>
    <xf numFmtId="0" fontId="5" fillId="0" borderId="16" pivotButton="0" quotePrefix="0" xfId="0"/>
    <xf numFmtId="0" fontId="16" fillId="7" borderId="0" applyAlignment="1" pivotButton="0" quotePrefix="0" xfId="0">
      <alignment horizontal="left" vertical="center"/>
    </xf>
    <xf numFmtId="0" fontId="27" fillId="7" borderId="0" applyAlignment="1" pivotButton="0" quotePrefix="0" xfId="0">
      <alignment vertical="center"/>
    </xf>
    <xf numFmtId="0" fontId="16" fillId="6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5" fillId="0" borderId="19" pivotButton="0" quotePrefix="0" xfId="0"/>
    <xf numFmtId="0" fontId="28" fillId="7" borderId="0" applyAlignment="1" pivotButton="0" quotePrefix="0" xfId="0">
      <alignment vertical="bottom"/>
    </xf>
    <xf numFmtId="0" fontId="2" fillId="7" borderId="0" applyAlignment="1" pivotButton="0" quotePrefix="0" xfId="0">
      <alignment vertical="center"/>
    </xf>
    <xf numFmtId="0" fontId="20" fillId="7" borderId="0" applyAlignment="1" pivotButton="0" quotePrefix="0" xfId="0">
      <alignment vertical="center"/>
    </xf>
    <xf numFmtId="0" fontId="16" fillId="6" borderId="7" applyAlignment="1" pivotButton="0" quotePrefix="0" xfId="0">
      <alignment vertical="center"/>
    </xf>
    <xf numFmtId="3" fontId="17" fillId="0" borderId="0" applyAlignment="1" pivotButton="0" quotePrefix="0" xfId="0">
      <alignment horizontal="center" vertical="top"/>
    </xf>
    <xf numFmtId="0" fontId="11" fillId="7" borderId="0" applyAlignment="1" pivotButton="0" quotePrefix="0" xfId="0">
      <alignment vertical="top"/>
    </xf>
    <xf numFmtId="3" fontId="12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vertical="center"/>
    </xf>
    <xf numFmtId="0" fontId="11" fillId="7" borderId="0" applyAlignment="1" pivotButton="0" quotePrefix="0" xfId="0">
      <alignment horizontal="center" vertical="center"/>
    </xf>
    <xf numFmtId="164" fontId="25" fillId="7" borderId="0" applyAlignment="1" pivotButton="0" quotePrefix="0" xfId="0">
      <alignment horizontal="center" vertical="center"/>
    </xf>
    <xf numFmtId="4" fontId="29" fillId="7" borderId="0" applyAlignment="1" pivotButton="0" quotePrefix="0" xfId="0">
      <alignment horizontal="left" vertical="center"/>
    </xf>
    <xf numFmtId="164" fontId="26" fillId="7" borderId="0" applyAlignment="1" pivotButton="0" quotePrefix="0" xfId="0">
      <alignment vertical="top"/>
    </xf>
    <xf numFmtId="0" fontId="11" fillId="7" borderId="0" applyAlignment="1" pivotButton="0" quotePrefix="0" xfId="0">
      <alignment vertical="center"/>
    </xf>
    <xf numFmtId="0" fontId="12" fillId="6" borderId="7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/>
    </xf>
    <xf numFmtId="3" fontId="30" fillId="6" borderId="0" applyAlignment="1" pivotButton="0" quotePrefix="0" xfId="0">
      <alignment horizontal="right" vertical="bottom"/>
    </xf>
    <xf numFmtId="3" fontId="17" fillId="6" borderId="0" applyAlignment="1" pivotButton="0" quotePrefix="0" xfId="0">
      <alignment horizontal="center" vertical="top"/>
    </xf>
    <xf numFmtId="4" fontId="22" fillId="7" borderId="0" applyAlignment="1" pivotButton="0" quotePrefix="0" xfId="0">
      <alignment vertical="center"/>
    </xf>
    <xf numFmtId="0" fontId="12" fillId="7" borderId="0" applyAlignment="1" pivotButton="0" quotePrefix="0" xfId="0">
      <alignment horizontal="center" vertical="center"/>
    </xf>
    <xf numFmtId="0" fontId="22" fillId="7" borderId="0" applyAlignment="1" pivotButton="0" quotePrefix="0" xfId="0">
      <alignment vertical="center"/>
    </xf>
    <xf numFmtId="4" fontId="12" fillId="7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4" fontId="26" fillId="7" borderId="0" applyAlignment="1" pivotButton="0" quotePrefix="0" xfId="0">
      <alignment vertical="center"/>
    </xf>
    <xf numFmtId="0" fontId="31" fillId="7" borderId="0" applyAlignment="1" pivotButton="0" quotePrefix="0" xfId="0">
      <alignment vertical="center"/>
    </xf>
    <xf numFmtId="0" fontId="11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  <xf numFmtId="0" fontId="12" fillId="6" borderId="7" applyAlignment="1" pivotButton="0" quotePrefix="0" xfId="0">
      <alignment horizontal="left" vertical="top" wrapText="1"/>
    </xf>
    <xf numFmtId="0" fontId="11" fillId="10" borderId="0" applyAlignment="1" pivotButton="0" quotePrefix="0" xfId="0">
      <alignment horizontal="left" vertical="center"/>
    </xf>
    <xf numFmtId="4" fontId="6" fillId="6" borderId="0" applyAlignment="1" pivotButton="0" quotePrefix="0" xfId="0">
      <alignment vertical="center"/>
    </xf>
    <xf numFmtId="0" fontId="12" fillId="10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/>
    </xf>
    <xf numFmtId="0" fontId="32" fillId="10" borderId="0" applyAlignment="1" pivotButton="0" quotePrefix="0" xfId="0">
      <alignment horizontal="right" vertical="center"/>
    </xf>
    <xf numFmtId="0" fontId="11" fillId="11" borderId="7" applyAlignment="1" pivotButton="0" quotePrefix="0" xfId="0">
      <alignment horizontal="center" vertical="center"/>
    </xf>
    <xf numFmtId="0" fontId="11" fillId="11" borderId="10" applyAlignment="1" pivotButton="0" quotePrefix="0" xfId="0">
      <alignment horizontal="center" vertical="center"/>
    </xf>
    <xf numFmtId="0" fontId="11" fillId="12" borderId="7" applyAlignment="1" pivotButton="0" quotePrefix="0" xfId="0">
      <alignment horizontal="left" vertical="center"/>
    </xf>
    <xf numFmtId="0" fontId="12" fillId="12" borderId="10" applyAlignment="1" pivotButton="0" quotePrefix="0" xfId="0">
      <alignment horizontal="left" vertical="center"/>
    </xf>
    <xf numFmtId="49" fontId="12" fillId="6" borderId="7" applyAlignment="1" pivotButton="0" quotePrefix="0" xfId="0">
      <alignment horizontal="left" vertical="top" wrapText="1"/>
    </xf>
    <xf numFmtId="0" fontId="12" fillId="0" borderId="10" applyAlignment="1" pivotButton="0" quotePrefix="0" xfId="0">
      <alignment horizontal="center" vertical="center" wrapText="1"/>
    </xf>
    <xf numFmtId="4" fontId="28" fillId="6" borderId="0" applyAlignment="1" pivotButton="0" quotePrefix="0" xfId="0">
      <alignment vertical="center"/>
    </xf>
    <xf numFmtId="4" fontId="33" fillId="6" borderId="0" applyAlignment="1" pivotButton="0" quotePrefix="0" xfId="0">
      <alignment vertical="center"/>
    </xf>
    <xf numFmtId="3" fontId="34" fillId="0" borderId="0" applyAlignment="1" pivotButton="0" quotePrefix="0" xfId="0">
      <alignment horizontal="center" vertical="top"/>
    </xf>
    <xf numFmtId="0" fontId="11" fillId="11" borderId="7" applyAlignment="1" pivotButton="0" quotePrefix="0" xfId="0">
      <alignment horizontal="left" vertical="center"/>
    </xf>
    <xf numFmtId="0" fontId="11" fillId="12" borderId="7" applyAlignment="1" pivotButton="0" quotePrefix="0" xfId="0">
      <alignment horizontal="center" vertical="center"/>
    </xf>
    <xf numFmtId="4" fontId="11" fillId="12" borderId="7" applyAlignment="1" pivotButton="0" quotePrefix="0" xfId="0">
      <alignment horizontal="right" vertical="center"/>
    </xf>
    <xf numFmtId="4" fontId="12" fillId="6" borderId="7" applyAlignment="1" pivotButton="0" quotePrefix="0" xfId="0">
      <alignment horizontal="right" vertical="center"/>
    </xf>
    <xf numFmtId="0" fontId="1" fillId="1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20" applyAlignment="1" pivotButton="0" quotePrefix="0" xfId="0">
      <alignment vertical="center"/>
    </xf>
    <xf numFmtId="0" fontId="35" fillId="0" borderId="0" pivotButton="0" quotePrefix="0" xfId="0"/>
    <xf numFmtId="0" fontId="35" fillId="0" borderId="0" applyAlignment="1" pivotButton="0" quotePrefix="0" xfId="0">
      <alignment horizontal="left" wrapText="1"/>
    </xf>
    <xf numFmtId="0" fontId="35" fillId="0" borderId="0" pivotButton="0" quotePrefix="0" xfId="0"/>
    <xf numFmtId="0" fontId="3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36" fillId="13" borderId="0" applyAlignment="1" pivotButton="0" quotePrefix="0" xfId="0">
      <alignment horizontal="center" vertical="bottom"/>
    </xf>
    <xf numFmtId="0" fontId="36" fillId="14" borderId="0" applyAlignment="1" pivotButton="0" quotePrefix="0" xfId="0">
      <alignment horizontal="center" vertical="bottom"/>
    </xf>
    <xf numFmtId="0" fontId="1" fillId="13" borderId="0" applyAlignment="1" pivotButton="0" quotePrefix="0" xfId="0">
      <alignment horizontal="center" vertical="bottom"/>
    </xf>
    <xf numFmtId="0" fontId="37" fillId="6" borderId="0" applyAlignment="1" pivotButton="0" quotePrefix="0" xfId="0">
      <alignment horizontal="center" vertical="bottom"/>
    </xf>
    <xf numFmtId="0" fontId="38" fillId="2" borderId="0" applyAlignment="1" pivotButton="0" quotePrefix="0" xfId="0">
      <alignment vertical="top"/>
    </xf>
    <xf numFmtId="0" fontId="38" fillId="2" borderId="0" applyAlignment="1" pivotButton="0" quotePrefix="0" xfId="0">
      <alignment horizontal="center" vertical="top"/>
    </xf>
    <xf numFmtId="0" fontId="38" fillId="2" borderId="0" applyAlignment="1" pivotButton="0" quotePrefix="0" xfId="0">
      <alignment vertical="top" wrapText="1"/>
    </xf>
    <xf numFmtId="0" fontId="38" fillId="2" borderId="0" applyAlignment="1" pivotButton="0" quotePrefix="0" xfId="0">
      <alignment horizontal="left" vertical="top" wrapText="1"/>
    </xf>
    <xf numFmtId="1" fontId="38" fillId="2" borderId="0" applyAlignment="1" pivotButton="0" quotePrefix="0" xfId="0">
      <alignment vertical="top"/>
    </xf>
    <xf numFmtId="0" fontId="38" fillId="2" borderId="0" applyAlignment="1" pivotButton="0" quotePrefix="0" xfId="0">
      <alignment horizontal="left" vertical="top"/>
    </xf>
    <xf numFmtId="1" fontId="38" fillId="2" borderId="0" applyAlignment="1" pivotButton="0" quotePrefix="0" xfId="0">
      <alignment horizontal="center" vertical="top"/>
    </xf>
    <xf numFmtId="0" fontId="38" fillId="2" borderId="0" applyAlignment="1" pivotButton="0" quotePrefix="0" xfId="0">
      <alignment vertical="top"/>
    </xf>
    <xf numFmtId="0" fontId="38" fillId="2" borderId="0" applyAlignment="1" pivotButton="0" quotePrefix="0" xfId="0">
      <alignment vertical="top"/>
    </xf>
    <xf numFmtId="0" fontId="38" fillId="0" borderId="0" applyAlignment="1" pivotButton="0" quotePrefix="0" xfId="0">
      <alignment vertical="top"/>
    </xf>
    <xf numFmtId="0" fontId="36" fillId="13" borderId="0" applyAlignment="1" pivotButton="0" quotePrefix="0" xfId="0">
      <alignment horizontal="center" vertical="top"/>
    </xf>
    <xf numFmtId="4" fontId="36" fillId="13" borderId="0" applyAlignment="1" pivotButton="0" quotePrefix="0" xfId="0">
      <alignment horizontal="left" vertical="top"/>
    </xf>
    <xf numFmtId="49" fontId="36" fillId="13" borderId="0" applyAlignment="1" pivotButton="0" quotePrefix="0" xfId="0">
      <alignment horizontal="center" vertical="top"/>
    </xf>
    <xf numFmtId="0" fontId="36" fillId="13" borderId="0" applyAlignment="1" pivotButton="0" quotePrefix="0" xfId="0">
      <alignment horizontal="center" vertical="top"/>
    </xf>
    <xf numFmtId="1" fontId="36" fillId="13" borderId="0" applyAlignment="1" pivotButton="0" quotePrefix="0" xfId="0">
      <alignment horizontal="center" vertical="top"/>
    </xf>
    <xf numFmtId="0" fontId="36" fillId="13" borderId="0" applyAlignment="1" pivotButton="0" quotePrefix="0" xfId="0">
      <alignment horizontal="left" vertical="top"/>
    </xf>
    <xf numFmtId="1" fontId="36" fillId="13" borderId="0" applyAlignment="1" pivotButton="0" quotePrefix="0" xfId="0">
      <alignment horizontal="center" vertical="top"/>
    </xf>
    <xf numFmtId="0" fontId="36" fillId="0" borderId="0" applyAlignment="1" pivotButton="0" quotePrefix="0" xfId="0">
      <alignment horizontal="center" vertical="top"/>
    </xf>
    <xf numFmtId="4" fontId="36" fillId="13" borderId="0" applyAlignment="1" pivotButton="0" quotePrefix="0" xfId="0">
      <alignment vertical="top"/>
    </xf>
    <xf numFmtId="1" fontId="36" fillId="13" borderId="0" applyAlignment="1" pivotButton="0" quotePrefix="0" xfId="0">
      <alignment vertical="top"/>
    </xf>
    <xf numFmtId="0" fontId="36" fillId="13" borderId="0" applyAlignment="1" pivotButton="0" quotePrefix="0" xfId="0">
      <alignment vertical="top"/>
    </xf>
    <xf numFmtId="0" fontId="36" fillId="13" borderId="0" applyAlignment="1" pivotButton="0" quotePrefix="0" xfId="0">
      <alignment vertical="top"/>
    </xf>
    <xf numFmtId="0" fontId="36" fillId="0" borderId="0" applyAlignment="1" pivotButton="0" quotePrefix="0" xfId="0">
      <alignment vertical="top"/>
    </xf>
    <xf numFmtId="0" fontId="39" fillId="2" borderId="21" applyAlignment="1" pivotButton="0" quotePrefix="0" xfId="0">
      <alignment vertical="bottom"/>
    </xf>
    <xf numFmtId="0" fontId="12" fillId="2" borderId="21" applyAlignment="1" pivotButton="0" quotePrefix="0" xfId="0">
      <alignment horizontal="center" vertical="bottom"/>
    </xf>
    <xf numFmtId="0" fontId="12" fillId="2" borderId="12" applyAlignment="1" pivotButton="0" quotePrefix="0" xfId="0">
      <alignment vertical="bottom" wrapText="1"/>
    </xf>
    <xf numFmtId="0" fontId="40" fillId="2" borderId="12" applyAlignment="1" pivotButton="0" quotePrefix="0" xfId="0">
      <alignment vertical="center"/>
    </xf>
    <xf numFmtId="1" fontId="40" fillId="2" borderId="12" applyAlignment="1" pivotButton="0" quotePrefix="0" xfId="0">
      <alignment vertical="center"/>
    </xf>
    <xf numFmtId="1" fontId="12" fillId="2" borderId="12" applyAlignment="1" pivotButton="0" quotePrefix="0" xfId="0">
      <alignment vertical="bottom"/>
    </xf>
    <xf numFmtId="0" fontId="12" fillId="2" borderId="12" applyAlignment="1" pivotButton="0" quotePrefix="0" xfId="0">
      <alignment horizontal="left" vertical="bottom"/>
    </xf>
    <xf numFmtId="0" fontId="12" fillId="2" borderId="12" applyAlignment="1" pivotButton="0" quotePrefix="0" xfId="0">
      <alignment vertical="bottom"/>
    </xf>
    <xf numFmtId="1" fontId="12" fillId="2" borderId="12" applyAlignment="1" pivotButton="0" quotePrefix="0" xfId="0">
      <alignment horizontal="center" vertical="bottom"/>
    </xf>
    <xf numFmtId="0" fontId="12" fillId="2" borderId="12" applyAlignment="1" pivotButton="0" quotePrefix="0" xfId="0">
      <alignment vertical="bottom"/>
    </xf>
    <xf numFmtId="0" fontId="12" fillId="2" borderId="0" applyAlignment="1" pivotButton="0" quotePrefix="0" xfId="0">
      <alignment vertical="bottom"/>
    </xf>
    <xf numFmtId="0" fontId="12" fillId="2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6" fillId="15" borderId="3" applyAlignment="1" pivotButton="0" quotePrefix="0" xfId="0">
      <alignment horizontal="center" vertical="center"/>
    </xf>
    <xf numFmtId="0" fontId="36" fillId="15" borderId="22" applyAlignment="1" pivotButton="0" quotePrefix="0" xfId="0">
      <alignment horizontal="center" vertical="center" wrapText="1"/>
    </xf>
    <xf numFmtId="0" fontId="36" fillId="15" borderId="22" applyAlignment="1" pivotButton="0" quotePrefix="0" xfId="0">
      <alignment horizontal="center" vertical="center" wrapText="1"/>
    </xf>
    <xf numFmtId="0" fontId="36" fillId="11" borderId="22" applyAlignment="1" pivotButton="0" quotePrefix="0" xfId="0">
      <alignment horizontal="center" vertical="center"/>
    </xf>
    <xf numFmtId="1" fontId="41" fillId="11" borderId="7" applyAlignment="1" pivotButton="0" quotePrefix="0" xfId="0">
      <alignment horizontal="center" vertical="center" wrapText="1"/>
    </xf>
    <xf numFmtId="0" fontId="41" fillId="11" borderId="1" applyAlignment="1" pivotButton="0" quotePrefix="0" xfId="0">
      <alignment horizontal="center" vertical="center" wrapText="1"/>
    </xf>
    <xf numFmtId="1" fontId="41" fillId="11" borderId="1" applyAlignment="1" pivotButton="0" quotePrefix="0" xfId="0">
      <alignment horizontal="center" vertical="center" wrapText="1"/>
    </xf>
    <xf numFmtId="0" fontId="36" fillId="16" borderId="1" applyAlignment="1" pivotButton="0" quotePrefix="0" xfId="0">
      <alignment horizontal="center" vertical="center"/>
    </xf>
    <xf numFmtId="1" fontId="41" fillId="16" borderId="7" applyAlignment="1" pivotButton="0" quotePrefix="0" xfId="0">
      <alignment horizontal="center" vertical="center" wrapText="1"/>
    </xf>
    <xf numFmtId="0" fontId="41" fillId="16" borderId="1" applyAlignment="1" pivotButton="0" quotePrefix="0" xfId="0">
      <alignment horizontal="center" vertical="center" wrapText="1"/>
    </xf>
    <xf numFmtId="1" fontId="41" fillId="16" borderId="1" applyAlignment="1" pivotButton="0" quotePrefix="0" xfId="0">
      <alignment horizontal="center" vertical="center" wrapText="1"/>
    </xf>
    <xf numFmtId="0" fontId="36" fillId="16" borderId="1" applyAlignment="1" pivotButton="0" quotePrefix="0" xfId="0">
      <alignment horizontal="center" vertical="center" wrapText="1"/>
    </xf>
    <xf numFmtId="0" fontId="36" fillId="17" borderId="23" applyAlignment="1" pivotButton="0" quotePrefix="0" xfId="0">
      <alignment horizontal="center" vertical="center"/>
    </xf>
    <xf numFmtId="1" fontId="41" fillId="17" borderId="7" applyAlignment="1" pivotButton="0" quotePrefix="0" xfId="0">
      <alignment horizontal="center" vertical="center" wrapText="1"/>
    </xf>
    <xf numFmtId="0" fontId="41" fillId="17" borderId="1" applyAlignment="1" pivotButton="0" quotePrefix="0" xfId="0">
      <alignment horizontal="center" vertical="center" wrapText="1"/>
    </xf>
    <xf numFmtId="1" fontId="41" fillId="17" borderId="1" applyAlignment="1" pivotButton="0" quotePrefix="0" xfId="0">
      <alignment horizontal="center" vertical="center" wrapText="1"/>
    </xf>
    <xf numFmtId="0" fontId="36" fillId="17" borderId="1" applyAlignment="1" pivotButton="0" quotePrefix="0" xfId="0">
      <alignment horizontal="center" vertical="center"/>
    </xf>
    <xf numFmtId="0" fontId="36" fillId="15" borderId="1" applyAlignment="1" pivotButton="0" quotePrefix="0" xfId="0">
      <alignment horizontal="center" vertical="center"/>
    </xf>
    <xf numFmtId="0" fontId="36" fillId="15" borderId="1" applyAlignment="1" pivotButton="0" quotePrefix="0" xfId="0">
      <alignment horizontal="center" vertical="center" wrapText="1"/>
    </xf>
    <xf numFmtId="0" fontId="42" fillId="18" borderId="1" applyAlignment="1" pivotButton="0" quotePrefix="0" xfId="0">
      <alignment horizontal="center" vertical="center" wrapText="1"/>
    </xf>
    <xf numFmtId="0" fontId="42" fillId="18" borderId="23" applyAlignment="1" pivotButton="0" quotePrefix="0" xfId="0">
      <alignment horizontal="center" vertical="center" wrapText="1"/>
    </xf>
    <xf numFmtId="0" fontId="36" fillId="18" borderId="1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" fillId="0" borderId="20" pivotButton="0" quotePrefix="0" xfId="0"/>
    <xf numFmtId="1" fontId="41" fillId="11" borderId="10" applyAlignment="1" pivotButton="0" quotePrefix="0" xfId="0">
      <alignment horizontal="center" vertical="center" wrapText="1"/>
    </xf>
    <xf numFmtId="0" fontId="41" fillId="11" borderId="10" applyAlignment="1" pivotButton="0" quotePrefix="0" xfId="0">
      <alignment horizontal="center" vertical="center" wrapText="1"/>
    </xf>
    <xf numFmtId="1" fontId="41" fillId="16" borderId="10" applyAlignment="1" pivotButton="0" quotePrefix="0" xfId="0">
      <alignment horizontal="center" vertical="center" wrapText="1"/>
    </xf>
    <xf numFmtId="0" fontId="41" fillId="16" borderId="10" applyAlignment="1" pivotButton="0" quotePrefix="0" xfId="0">
      <alignment horizontal="center" vertical="center" wrapText="1"/>
    </xf>
    <xf numFmtId="1" fontId="41" fillId="17" borderId="10" applyAlignment="1" pivotButton="0" quotePrefix="0" xfId="0">
      <alignment horizontal="center" vertical="center" wrapText="1"/>
    </xf>
    <xf numFmtId="0" fontId="41" fillId="17" borderId="10" applyAlignment="1" pivotButton="0" quotePrefix="0" xfId="0">
      <alignment horizontal="center" vertical="center" wrapText="1"/>
    </xf>
    <xf numFmtId="0" fontId="36" fillId="13" borderId="10" applyAlignment="1" pivotButton="0" quotePrefix="0" xfId="0">
      <alignment horizontal="center" vertical="center"/>
    </xf>
    <xf numFmtId="0" fontId="36" fillId="13" borderId="10" applyAlignment="1" pivotButton="0" quotePrefix="0" xfId="0">
      <alignment horizontal="center" vertical="center" wrapText="1"/>
    </xf>
    <xf numFmtId="0" fontId="36" fillId="13" borderId="10" applyAlignment="1" pivotButton="0" quotePrefix="0" xfId="0">
      <alignment horizontal="center" vertical="center" wrapText="1"/>
    </xf>
    <xf numFmtId="4" fontId="36" fillId="19" borderId="10" applyAlignment="1" pivotButton="0" quotePrefix="0" xfId="0">
      <alignment horizontal="right" vertical="center"/>
    </xf>
    <xf numFmtId="1" fontId="36" fillId="19" borderId="10" applyAlignment="1" pivotButton="0" quotePrefix="0" xfId="0">
      <alignment horizontal="right" vertical="center"/>
    </xf>
    <xf numFmtId="4" fontId="36" fillId="20" borderId="10" applyAlignment="1" pivotButton="0" quotePrefix="0" xfId="0">
      <alignment horizontal="right" vertical="center"/>
    </xf>
    <xf numFmtId="1" fontId="36" fillId="20" borderId="10" applyAlignment="1" pivotButton="0" quotePrefix="0" xfId="0">
      <alignment horizontal="right" vertical="center"/>
    </xf>
    <xf numFmtId="4" fontId="36" fillId="21" borderId="10" applyAlignment="1" pivotButton="0" quotePrefix="0" xfId="0">
      <alignment horizontal="right" vertical="center"/>
    </xf>
    <xf numFmtId="1" fontId="36" fillId="21" borderId="10" applyAlignment="1" pivotButton="0" quotePrefix="0" xfId="0">
      <alignment horizontal="center" vertical="center"/>
    </xf>
    <xf numFmtId="4" fontId="36" fillId="21" borderId="10" applyAlignment="1" pivotButton="0" quotePrefix="0" xfId="0">
      <alignment horizontal="center" vertical="center"/>
    </xf>
    <xf numFmtId="0" fontId="38" fillId="13" borderId="10" applyAlignment="1" pivotButton="0" quotePrefix="0" xfId="0">
      <alignment horizontal="center" vertical="center"/>
    </xf>
    <xf numFmtId="0" fontId="38" fillId="13" borderId="10" applyAlignment="1" pivotButton="0" quotePrefix="0" xfId="0">
      <alignment horizontal="center" vertical="center" wrapText="1"/>
    </xf>
    <xf numFmtId="0" fontId="38" fillId="21" borderId="10" applyAlignment="1" pivotButton="0" quotePrefix="0" xfId="0">
      <alignment horizontal="center" vertical="center"/>
    </xf>
    <xf numFmtId="0" fontId="38" fillId="21" borderId="1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43" fillId="2" borderId="10" applyAlignment="1" pivotButton="0" quotePrefix="0" xfId="0">
      <alignment horizontal="center" vertical="center"/>
    </xf>
    <xf numFmtId="0" fontId="43" fillId="2" borderId="10" applyAlignment="1" pivotButton="0" quotePrefix="0" xfId="0">
      <alignment horizontal="center" vertical="top" wrapText="1"/>
    </xf>
    <xf numFmtId="0" fontId="44" fillId="0" borderId="0" applyAlignment="1" pivotButton="0" quotePrefix="0" xfId="0">
      <alignment horizontal="center" vertical="center"/>
    </xf>
    <xf numFmtId="0" fontId="36" fillId="22" borderId="10" applyAlignment="1" pivotButton="0" quotePrefix="0" xfId="0">
      <alignment horizontal="center" vertical="top" wrapText="1"/>
    </xf>
    <xf numFmtId="0" fontId="4" fillId="22" borderId="10" applyAlignment="1" pivotButton="0" quotePrefix="0" xfId="0">
      <alignment horizontal="center" vertical="top" wrapText="1"/>
    </xf>
    <xf numFmtId="0" fontId="36" fillId="22" borderId="10" applyAlignment="1" pivotButton="0" quotePrefix="0" xfId="0">
      <alignment vertical="top" wrapText="1"/>
    </xf>
    <xf numFmtId="4" fontId="36" fillId="22" borderId="10" applyAlignment="1" pivotButton="0" quotePrefix="0" xfId="0">
      <alignment vertical="top" wrapText="1"/>
    </xf>
    <xf numFmtId="4" fontId="36" fillId="22" borderId="10" applyAlignment="1" pivotButton="0" quotePrefix="0" xfId="0">
      <alignment horizontal="right" vertical="top" wrapText="1"/>
    </xf>
    <xf numFmtId="1" fontId="36" fillId="22" borderId="10" applyAlignment="1" pivotButton="0" quotePrefix="0" xfId="0">
      <alignment horizontal="right" vertical="top" wrapText="1"/>
    </xf>
    <xf numFmtId="4" fontId="36" fillId="22" borderId="10" applyAlignment="1" pivotButton="0" quotePrefix="0" xfId="0">
      <alignment horizontal="left" vertical="top" wrapText="1"/>
    </xf>
    <xf numFmtId="1" fontId="36" fillId="22" borderId="10" applyAlignment="1" pivotButton="0" quotePrefix="0" xfId="0">
      <alignment horizontal="center" vertical="top" wrapText="1"/>
    </xf>
    <xf numFmtId="0" fontId="36" fillId="22" borderId="10" applyAlignment="1" pivotButton="0" quotePrefix="0" xfId="0">
      <alignment vertical="top" wrapText="1"/>
    </xf>
    <xf numFmtId="0" fontId="36" fillId="23" borderId="10" applyAlignment="1" pivotButton="0" quotePrefix="0" xfId="0">
      <alignment vertical="top" wrapText="1"/>
    </xf>
    <xf numFmtId="0" fontId="38" fillId="22" borderId="1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top" wrapText="1"/>
    </xf>
    <xf numFmtId="0" fontId="38" fillId="4" borderId="10" applyAlignment="1" pivotButton="0" quotePrefix="0" xfId="0">
      <alignment horizontal="center" vertical="top" wrapText="1"/>
    </xf>
    <xf numFmtId="0" fontId="38" fillId="4" borderId="10" applyAlignment="1" pivotButton="0" quotePrefix="0" xfId="0">
      <alignment vertical="top" wrapText="1"/>
    </xf>
    <xf numFmtId="4" fontId="38" fillId="0" borderId="10" applyAlignment="1" pivotButton="0" quotePrefix="0" xfId="0">
      <alignment horizontal="left" vertical="top" wrapText="1"/>
    </xf>
    <xf numFmtId="4" fontId="38" fillId="24" borderId="10" applyAlignment="1" pivotButton="0" quotePrefix="0" xfId="0">
      <alignment vertical="top" wrapText="1"/>
    </xf>
    <xf numFmtId="1" fontId="38" fillId="0" borderId="10" applyAlignment="1" pivotButton="0" quotePrefix="0" xfId="0">
      <alignment horizontal="right" vertical="top" wrapText="1"/>
    </xf>
    <xf numFmtId="4" fontId="38" fillId="0" borderId="10" applyAlignment="1" pivotButton="0" quotePrefix="0" xfId="0">
      <alignment horizontal="right" vertical="top" wrapText="1"/>
    </xf>
    <xf numFmtId="1" fontId="38" fillId="0" borderId="10" applyAlignment="1" pivotButton="0" quotePrefix="0" xfId="0">
      <alignment horizontal="center" vertical="top" wrapText="1"/>
    </xf>
    <xf numFmtId="4" fontId="38" fillId="20" borderId="10" applyAlignment="1" pivotButton="0" quotePrefix="0" xfId="0">
      <alignment horizontal="right" vertical="top" wrapText="1"/>
    </xf>
    <xf numFmtId="4" fontId="38" fillId="21" borderId="10" applyAlignment="1" pivotButton="0" quotePrefix="0" xfId="0">
      <alignment horizontal="right" vertical="top" wrapText="1"/>
    </xf>
    <xf numFmtId="0" fontId="38" fillId="0" borderId="10" applyAlignment="1" pivotButton="0" quotePrefix="0" xfId="0">
      <alignment vertical="top" wrapText="1"/>
    </xf>
    <xf numFmtId="0" fontId="38" fillId="4" borderId="10" applyAlignment="1" pivotButton="0" quotePrefix="0" xfId="0">
      <alignment vertical="top" wrapText="1"/>
    </xf>
    <xf numFmtId="0" fontId="38" fillId="4" borderId="1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top" wrapText="1"/>
    </xf>
    <xf numFmtId="0" fontId="38" fillId="0" borderId="10" applyAlignment="1" pivotButton="0" quotePrefix="0" xfId="0">
      <alignment vertical="top" wrapText="1"/>
    </xf>
    <xf numFmtId="0" fontId="38" fillId="4" borderId="10" applyAlignment="1" pivotButton="0" quotePrefix="0" xfId="0">
      <alignment vertical="top" wrapText="1"/>
    </xf>
    <xf numFmtId="0" fontId="38" fillId="4" borderId="10" applyAlignment="1" pivotButton="0" quotePrefix="0" xfId="0">
      <alignment horizontal="left" vertical="top" wrapText="1"/>
    </xf>
    <xf numFmtId="0" fontId="36" fillId="22" borderId="10" applyAlignment="1" pivotButton="0" quotePrefix="0" xfId="0">
      <alignment horizontal="center" vertical="top" wrapText="1"/>
    </xf>
    <xf numFmtId="0" fontId="1" fillId="25" borderId="0" applyAlignment="1" pivotButton="0" quotePrefix="0" xfId="0">
      <alignment horizontal="center" vertical="bottom"/>
    </xf>
    <xf numFmtId="0" fontId="40" fillId="0" borderId="0" applyAlignment="1" pivotButton="0" quotePrefix="0" xfId="0">
      <alignment vertical="top"/>
    </xf>
    <xf numFmtId="0" fontId="39" fillId="2" borderId="0" applyAlignment="1" pivotButton="0" quotePrefix="0" xfId="0">
      <alignment horizontal="left" vertical="bottom"/>
    </xf>
    <xf numFmtId="0" fontId="45" fillId="2" borderId="0" applyAlignment="1" pivotButton="0" quotePrefix="0" xfId="0">
      <alignment horizontal="left" vertical="bottom"/>
    </xf>
    <xf numFmtId="0" fontId="36" fillId="11" borderId="1" applyAlignment="1" pivotButton="0" quotePrefix="0" xfId="0">
      <alignment horizontal="center" vertical="center" wrapText="1"/>
    </xf>
    <xf numFmtId="4" fontId="36" fillId="11" borderId="10" applyAlignment="1" pivotButton="0" quotePrefix="0" xfId="0">
      <alignment horizontal="center" vertical="center" wrapText="1"/>
    </xf>
    <xf numFmtId="0" fontId="36" fillId="11" borderId="10" applyAlignment="1" pivotButton="0" quotePrefix="0" xfId="0">
      <alignment horizontal="center" vertical="center" wrapText="1"/>
    </xf>
    <xf numFmtId="0" fontId="36" fillId="11" borderId="10" applyAlignment="1" pivotButton="0" quotePrefix="0" xfId="0">
      <alignment horizontal="center" vertical="center" wrapText="1"/>
    </xf>
    <xf numFmtId="4" fontId="46" fillId="0" borderId="1" applyAlignment="1" pivotButton="0" quotePrefix="0" xfId="0">
      <alignment horizontal="center" vertical="top"/>
    </xf>
    <xf numFmtId="4" fontId="46" fillId="0" borderId="1" applyAlignment="1" pivotButton="0" quotePrefix="0" xfId="0">
      <alignment horizontal="left" vertical="top"/>
    </xf>
    <xf numFmtId="4" fontId="46" fillId="0" borderId="1" applyAlignment="1" pivotButton="0" quotePrefix="0" xfId="0">
      <alignment horizontal="right" vertical="top"/>
    </xf>
    <xf numFmtId="0" fontId="40" fillId="26" borderId="10" applyAlignment="1" pivotButton="0" quotePrefix="0" xfId="0">
      <alignment vertical="top"/>
    </xf>
    <xf numFmtId="0" fontId="47" fillId="26" borderId="10" applyAlignment="1" pivotButton="0" quotePrefix="0" xfId="0">
      <alignment horizontal="center" vertical="center"/>
    </xf>
    <xf numFmtId="0" fontId="40" fillId="26" borderId="10" applyAlignment="1" pivotButton="0" quotePrefix="0" xfId="0">
      <alignment vertical="top"/>
    </xf>
    <xf numFmtId="4" fontId="48" fillId="0" borderId="20" applyAlignment="1" pivotButton="0" quotePrefix="0" xfId="0">
      <alignment horizontal="center" vertical="top"/>
    </xf>
    <xf numFmtId="4" fontId="48" fillId="0" borderId="20" applyAlignment="1" pivotButton="0" quotePrefix="0" xfId="0">
      <alignment horizontal="left" vertical="top"/>
    </xf>
    <xf numFmtId="4" fontId="48" fillId="0" borderId="20" applyAlignment="1" pivotButton="0" quotePrefix="0" xfId="0">
      <alignment horizontal="right" vertical="top"/>
    </xf>
    <xf numFmtId="0" fontId="40" fillId="0" borderId="10" applyAlignment="1" pivotButton="0" quotePrefix="0" xfId="0">
      <alignment vertical="top"/>
    </xf>
    <xf numFmtId="4" fontId="47" fillId="0" borderId="10" applyAlignment="1" pivotButton="0" quotePrefix="0" xfId="0">
      <alignment horizontal="center" vertical="center"/>
    </xf>
    <xf numFmtId="4" fontId="47" fillId="0" borderId="10" applyAlignment="1" pivotButton="0" quotePrefix="0" xfId="0">
      <alignment horizontal="center" vertical="center"/>
    </xf>
    <xf numFmtId="0" fontId="40" fillId="0" borderId="10" applyAlignment="1" pivotButton="0" quotePrefix="0" xfId="0">
      <alignment vertical="top"/>
    </xf>
    <xf numFmtId="0" fontId="46" fillId="0" borderId="1" applyAlignment="1" pivotButton="0" quotePrefix="0" xfId="0">
      <alignment horizontal="center" vertical="top"/>
    </xf>
    <xf numFmtId="0" fontId="46" fillId="0" borderId="1" applyAlignment="1" pivotButton="0" quotePrefix="0" xfId="0">
      <alignment horizontal="left" vertical="top" wrapText="1"/>
    </xf>
    <xf numFmtId="0" fontId="47" fillId="26" borderId="10" applyAlignment="1" pivotButton="0" quotePrefix="0" xfId="0">
      <alignment horizontal="center" vertical="center"/>
    </xf>
    <xf numFmtId="14" fontId="47" fillId="26" borderId="10" applyAlignment="1" pivotButton="0" quotePrefix="0" xfId="0">
      <alignment horizontal="center" vertical="center"/>
    </xf>
    <xf numFmtId="0" fontId="48" fillId="0" borderId="20" applyAlignment="1" pivotButton="0" quotePrefix="0" xfId="0">
      <alignment horizontal="center" vertical="top"/>
    </xf>
    <xf numFmtId="0" fontId="48" fillId="0" borderId="2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center" vertical="top"/>
    </xf>
    <xf numFmtId="0" fontId="40" fillId="0" borderId="0" applyAlignment="1" pivotButton="0" quotePrefix="0" xfId="0">
      <alignment vertical="top" wrapText="1"/>
    </xf>
    <xf numFmtId="4" fontId="40" fillId="0" borderId="0" applyAlignment="1" pivotButton="0" quotePrefix="0" xfId="0">
      <alignment horizontal="right" vertical="top"/>
    </xf>
    <xf numFmtId="0" fontId="29" fillId="27" borderId="0" applyAlignment="1" pivotButton="0" quotePrefix="0" xfId="0">
      <alignment horizontal="center" vertical="center"/>
    </xf>
    <xf numFmtId="0" fontId="2" fillId="2" borderId="24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16" borderId="0" applyAlignment="1" pivotButton="0" quotePrefix="0" xfId="0">
      <alignment horizontal="center" vertical="center"/>
    </xf>
    <xf numFmtId="0" fontId="1" fillId="28" borderId="24" applyAlignment="1" pivotButton="0" quotePrefix="0" xfId="0">
      <alignment horizontal="center" vertical="center"/>
    </xf>
    <xf numFmtId="49" fontId="1" fillId="28" borderId="0" applyAlignment="1" pivotButton="0" quotePrefix="0" xfId="0">
      <alignment vertical="center"/>
    </xf>
    <xf numFmtId="0" fontId="49" fillId="28" borderId="0" applyAlignment="1" pivotButton="0" quotePrefix="0" xfId="0">
      <alignment horizontal="right" vertical="center"/>
    </xf>
    <xf numFmtId="0" fontId="1" fillId="22" borderId="24" applyAlignment="1" pivotButton="0" quotePrefix="0" xfId="0">
      <alignment horizontal="center" vertical="center"/>
    </xf>
    <xf numFmtId="49" fontId="1" fillId="22" borderId="0" applyAlignment="1" pivotButton="0" quotePrefix="0" xfId="0">
      <alignment vertical="center" wrapText="1"/>
    </xf>
    <xf numFmtId="0" fontId="1" fillId="22" borderId="0" applyAlignment="1" pivotButton="0" quotePrefix="0" xfId="0">
      <alignment vertical="center" wrapText="1"/>
    </xf>
    <xf numFmtId="0" fontId="1" fillId="22" borderId="24" applyAlignment="1" pivotButton="0" quotePrefix="0" xfId="0">
      <alignment horizontal="center" vertical="center" wrapText="1"/>
    </xf>
    <xf numFmtId="0" fontId="2" fillId="22" borderId="0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 wrapText="1"/>
    </xf>
    <xf numFmtId="0" fontId="2" fillId="22" borderId="0" applyAlignment="1" pivotButton="0" quotePrefix="0" xfId="0">
      <alignment vertical="center"/>
    </xf>
    <xf numFmtId="0" fontId="9" fillId="22" borderId="0" applyAlignment="1" pivotButton="0" quotePrefix="0" xfId="0">
      <alignment horizontal="left" vertical="center"/>
    </xf>
    <xf numFmtId="49" fontId="2" fillId="6" borderId="7" applyAlignment="1" pivotButton="0" quotePrefix="0" xfId="0">
      <alignment horizontal="left" vertical="center"/>
    </xf>
    <xf numFmtId="0" fontId="5" fillId="6" borderId="8" pivotButton="0" quotePrefix="0" xfId="0"/>
    <xf numFmtId="0" fontId="5" fillId="6" borderId="9" pivotButton="0" quotePrefix="0" xfId="0"/>
    <xf numFmtId="0" fontId="1" fillId="22" borderId="0" applyAlignment="1" pivotButton="0" quotePrefix="0" xfId="0">
      <alignment horizontal="left" vertical="center" wrapText="1"/>
    </xf>
    <xf numFmtId="49" fontId="2" fillId="6" borderId="25" applyAlignment="1" pivotButton="0" quotePrefix="0" xfId="0">
      <alignment horizontal="left" vertical="center"/>
    </xf>
    <xf numFmtId="0" fontId="5" fillId="6" borderId="26" pivotButton="0" quotePrefix="0" xfId="0"/>
    <xf numFmtId="0" fontId="5" fillId="6" borderId="27" pivotButton="0" quotePrefix="0" xfId="0"/>
    <xf numFmtId="0" fontId="1" fillId="22" borderId="0" applyAlignment="1" pivotButton="0" quotePrefix="0" xfId="0">
      <alignment horizontal="left" vertical="center"/>
    </xf>
    <xf numFmtId="0" fontId="7" fillId="22" borderId="0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/>
    </xf>
    <xf numFmtId="0" fontId="1" fillId="6" borderId="28" applyAlignment="1" pivotButton="0" quotePrefix="0" xfId="0">
      <alignment horizontal="center" vertical="center"/>
    </xf>
    <xf numFmtId="165" fontId="50" fillId="22" borderId="0" applyAlignment="1" pivotButton="0" quotePrefix="0" xfId="0">
      <alignment horizontal="center" vertical="center"/>
    </xf>
    <xf numFmtId="0" fontId="1" fillId="22" borderId="24" applyAlignment="1" pivotButton="0" quotePrefix="0" xfId="0">
      <alignment horizontal="left" vertical="center"/>
    </xf>
    <xf numFmtId="0" fontId="1" fillId="22" borderId="0" applyAlignment="1" pivotButton="0" quotePrefix="0" xfId="0">
      <alignment horizontal="center" vertical="center"/>
    </xf>
    <xf numFmtId="0" fontId="1" fillId="6" borderId="10" applyAlignment="1" pivotButton="0" quotePrefix="0" xfId="0">
      <alignment horizontal="center" vertical="center"/>
    </xf>
    <xf numFmtId="0" fontId="3" fillId="29" borderId="7" applyAlignment="1" pivotButton="0" quotePrefix="0" xfId="0">
      <alignment horizontal="center" vertical="center"/>
    </xf>
    <xf numFmtId="0" fontId="7" fillId="22" borderId="0" applyAlignment="1" pivotButton="0" quotePrefix="0" xfId="0">
      <alignment vertical="center"/>
    </xf>
    <xf numFmtId="0" fontId="2" fillId="22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165" fontId="2" fillId="22" borderId="0" applyAlignment="1" pivotButton="0" quotePrefix="0" xfId="0">
      <alignment horizontal="left" vertical="center"/>
    </xf>
    <xf numFmtId="0" fontId="40" fillId="2" borderId="29" applyAlignment="1" pivotButton="0" quotePrefix="0" xfId="0">
      <alignment vertical="top"/>
    </xf>
    <xf numFmtId="0" fontId="40" fillId="2" borderId="30" applyAlignment="1" pivotButton="0" quotePrefix="0" xfId="0">
      <alignment vertical="top"/>
    </xf>
    <xf numFmtId="0" fontId="40" fillId="2" borderId="23" applyAlignment="1" pivotButton="0" quotePrefix="0" xfId="0">
      <alignment vertical="top"/>
    </xf>
    <xf numFmtId="0" fontId="51" fillId="13" borderId="24" applyAlignment="1" pivotButton="0" quotePrefix="0" xfId="0">
      <alignment horizontal="left" vertical="top"/>
    </xf>
    <xf numFmtId="0" fontId="11" fillId="15" borderId="29" applyAlignment="1" pivotButton="0" quotePrefix="0" xfId="0">
      <alignment horizontal="center" vertical="top"/>
    </xf>
    <xf numFmtId="0" fontId="11" fillId="15" borderId="1" applyAlignment="1" pivotButton="0" quotePrefix="0" xfId="0">
      <alignment horizontal="center" vertical="top" wrapText="1"/>
    </xf>
    <xf numFmtId="0" fontId="11" fillId="15" borderId="1" applyAlignment="1" pivotButton="0" quotePrefix="0" xfId="0">
      <alignment horizontal="center" vertical="top"/>
    </xf>
    <xf numFmtId="0" fontId="20" fillId="30" borderId="1" applyAlignment="1" pivotButton="0" quotePrefix="0" xfId="0">
      <alignment horizontal="center" vertical="top" wrapText="1"/>
    </xf>
    <xf numFmtId="0" fontId="20" fillId="30" borderId="29" applyAlignment="1" pivotButton="0" quotePrefix="0" xfId="0">
      <alignment horizontal="center" vertical="top"/>
    </xf>
    <xf numFmtId="0" fontId="5" fillId="6" borderId="30" pivotButton="0" quotePrefix="0" xfId="0"/>
    <xf numFmtId="0" fontId="5" fillId="6" borderId="23" pivotButton="0" quotePrefix="0" xfId="0"/>
    <xf numFmtId="0" fontId="5" fillId="6" borderId="11" pivotButton="0" quotePrefix="0" xfId="0"/>
    <xf numFmtId="0" fontId="5" fillId="6" borderId="20" pivotButton="0" quotePrefix="0" xfId="0"/>
    <xf numFmtId="0" fontId="5" fillId="6" borderId="12" pivotButton="0" quotePrefix="0" xfId="0"/>
    <xf numFmtId="0" fontId="5" fillId="6" borderId="13" pivotButton="0" quotePrefix="0" xfId="0"/>
    <xf numFmtId="0" fontId="11" fillId="20" borderId="10" applyAlignment="1" pivotButton="0" quotePrefix="0" xfId="0">
      <alignment horizontal="center" vertical="top"/>
    </xf>
    <xf numFmtId="0" fontId="11" fillId="20" borderId="10" applyAlignment="1" pivotButton="0" quotePrefix="0" xfId="0">
      <alignment vertical="top" wrapText="1"/>
    </xf>
    <xf numFmtId="49" fontId="20" fillId="0" borderId="10" applyAlignment="1" pivotButton="0" quotePrefix="0" xfId="0">
      <alignment horizontal="center" vertical="top" wrapText="1"/>
    </xf>
    <xf numFmtId="0" fontId="16" fillId="0" borderId="7" applyAlignment="1" pivotButton="0" quotePrefix="0" xfId="0">
      <alignment horizontal="left" vertical="top" wrapText="1"/>
    </xf>
    <xf numFmtId="0" fontId="20" fillId="0" borderId="24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40" fillId="0" borderId="0" applyAlignment="1" pivotButton="0" quotePrefix="0" xfId="0">
      <alignment vertical="top"/>
    </xf>
    <xf numFmtId="0" fontId="20" fillId="0" borderId="24" applyAlignment="1" pivotButton="0" quotePrefix="0" xfId="0">
      <alignment horizontal="left" vertical="top"/>
    </xf>
    <xf numFmtId="0" fontId="40" fillId="0" borderId="24" applyAlignment="1" pivotButton="0" quotePrefix="0" xfId="0">
      <alignment vertical="top"/>
    </xf>
    <xf numFmtId="0" fontId="50" fillId="31" borderId="31" applyAlignment="1" pivotButton="0" quotePrefix="0" xfId="0">
      <alignment horizontal="center" vertical="top"/>
    </xf>
    <xf numFmtId="49" fontId="50" fillId="0" borderId="0" applyAlignment="1" pivotButton="0" quotePrefix="0" xfId="0">
      <alignment horizontal="left" vertical="top"/>
    </xf>
    <xf numFmtId="0" fontId="50" fillId="0" borderId="0" applyAlignment="1" pivotButton="0" quotePrefix="0" xfId="0">
      <alignment vertical="top"/>
    </xf>
    <xf numFmtId="0" fontId="50" fillId="31" borderId="32" applyAlignment="1" pivotButton="0" quotePrefix="0" xfId="0">
      <alignment horizontal="center" vertical="top"/>
    </xf>
    <xf numFmtId="0" fontId="50" fillId="31" borderId="33" applyAlignment="1" pivotButton="0" quotePrefix="0" xfId="0">
      <alignment horizontal="center" vertical="top"/>
    </xf>
    <xf numFmtId="0" fontId="40" fillId="2" borderId="24" applyAlignment="1" pivotButton="0" quotePrefix="0" xfId="0">
      <alignment vertical="top"/>
    </xf>
    <xf numFmtId="0" fontId="40" fillId="2" borderId="0" applyAlignment="1" pivotButton="0" quotePrefix="0" xfId="0">
      <alignment vertical="top"/>
    </xf>
    <xf numFmtId="0" fontId="11" fillId="11" borderId="7" applyAlignment="1" pivotButton="0" quotePrefix="0" xfId="0">
      <alignment horizontal="left" vertical="top"/>
    </xf>
    <xf numFmtId="0" fontId="5" fillId="7" borderId="8" pivotButton="0" quotePrefix="0" xfId="0"/>
    <xf numFmtId="0" fontId="5" fillId="7" borderId="9" pivotButton="0" quotePrefix="0" xfId="0"/>
    <xf numFmtId="0" fontId="11" fillId="11" borderId="29" applyAlignment="1" pivotButton="0" quotePrefix="0" xfId="0">
      <alignment horizontal="center" vertical="top"/>
    </xf>
    <xf numFmtId="0" fontId="5" fillId="7" borderId="30" pivotButton="0" quotePrefix="0" xfId="0"/>
    <xf numFmtId="0" fontId="5" fillId="7" borderId="23" pivotButton="0" quotePrefix="0" xfId="0"/>
    <xf numFmtId="0" fontId="11" fillId="11" borderId="1" applyAlignment="1" pivotButton="0" quotePrefix="0" xfId="0">
      <alignment horizontal="center" vertical="top"/>
    </xf>
    <xf numFmtId="0" fontId="20" fillId="11" borderId="29" applyAlignment="1" pivotButton="0" quotePrefix="0" xfId="0">
      <alignment horizontal="center" vertical="top" wrapText="1"/>
    </xf>
    <xf numFmtId="0" fontId="5" fillId="7" borderId="11" pivotButton="0" quotePrefix="0" xfId="0"/>
    <xf numFmtId="0" fontId="5" fillId="7" borderId="12" pivotButton="0" quotePrefix="0" xfId="0"/>
    <xf numFmtId="0" fontId="5" fillId="7" borderId="13" pivotButton="0" quotePrefix="0" xfId="0"/>
    <xf numFmtId="0" fontId="5" fillId="7" borderId="20" pivotButton="0" quotePrefix="0" xfId="0"/>
    <xf numFmtId="0" fontId="11" fillId="12" borderId="7" applyAlignment="1" pivotButton="0" quotePrefix="0" xfId="0">
      <alignment horizontal="left" vertical="top"/>
    </xf>
    <xf numFmtId="0" fontId="12" fillId="12" borderId="10" applyAlignment="1" pivotButton="0" quotePrefix="0" xfId="0">
      <alignment horizontal="left" vertical="top"/>
    </xf>
    <xf numFmtId="0" fontId="12" fillId="12" borderId="10" applyAlignment="1" pivotButton="0" quotePrefix="0" xfId="0">
      <alignment horizontal="center" vertical="top"/>
    </xf>
    <xf numFmtId="0" fontId="11" fillId="32" borderId="10" applyAlignment="1" pivotButton="0" quotePrefix="0" xfId="0">
      <alignment horizontal="center" vertical="top"/>
    </xf>
    <xf numFmtId="0" fontId="11" fillId="13" borderId="10" applyAlignment="1" pivotButton="0" quotePrefix="0" xfId="0">
      <alignment horizontal="center" vertical="top"/>
    </xf>
    <xf numFmtId="0" fontId="12" fillId="12" borderId="7" applyAlignment="1" pivotButton="0" quotePrefix="0" xfId="0">
      <alignment horizontal="center" vertical="top"/>
    </xf>
    <xf numFmtId="49" fontId="12" fillId="7" borderId="7" applyAlignment="1" pivotButton="0" quotePrefix="0" xfId="0">
      <alignment horizontal="left" vertical="top" wrapText="1"/>
    </xf>
    <xf numFmtId="0" fontId="12" fillId="7" borderId="10" applyAlignment="1" pivotButton="0" quotePrefix="0" xfId="0">
      <alignment horizontal="center" vertical="top"/>
    </xf>
    <xf numFmtId="0" fontId="12" fillId="6" borderId="10" applyAlignment="1" pivotButton="0" quotePrefix="0" xfId="0">
      <alignment horizontal="center" vertical="top"/>
    </xf>
    <xf numFmtId="0" fontId="12" fillId="21" borderId="10" applyAlignment="1" pivotButton="0" quotePrefix="0" xfId="0">
      <alignment horizontal="center" vertical="top"/>
    </xf>
    <xf numFmtId="0" fontId="12" fillId="30" borderId="10" applyAlignment="1" pivotButton="0" quotePrefix="0" xfId="0">
      <alignment horizontal="center" vertical="top"/>
    </xf>
    <xf numFmtId="0" fontId="12" fillId="33" borderId="7" applyAlignment="1" pivotButton="0" quotePrefix="0" xfId="0">
      <alignment horizontal="left" vertical="top" wrapText="1"/>
    </xf>
    <xf numFmtId="0" fontId="40" fillId="2" borderId="10" applyAlignment="1" pivotButton="0" quotePrefix="0" xfId="0">
      <alignment vertical="top"/>
    </xf>
    <xf numFmtId="0" fontId="40" fillId="6" borderId="0" applyAlignment="1" pivotButton="0" quotePrefix="0" xfId="0">
      <alignment vertical="top"/>
    </xf>
    <xf numFmtId="0" fontId="40" fillId="0" borderId="0" applyAlignment="1" pivotButton="0" quotePrefix="0" xfId="0">
      <alignment vertical="top"/>
    </xf>
    <xf numFmtId="0" fontId="40" fillId="2" borderId="24" applyAlignment="1" pivotButton="0" quotePrefix="0" xfId="0">
      <alignment vertical="center"/>
    </xf>
    <xf numFmtId="0" fontId="40" fillId="2" borderId="0" applyAlignment="1" pivotButton="0" quotePrefix="0" xfId="0">
      <alignment vertical="center"/>
    </xf>
    <xf numFmtId="0" fontId="5" fillId="0" borderId="30" pivotButton="0" quotePrefix="0" xfId="0"/>
    <xf numFmtId="0" fontId="5" fillId="0" borderId="23" pivotButton="0" quotePrefix="0" xfId="0"/>
    <xf numFmtId="0" fontId="11" fillId="11" borderId="1" applyAlignment="1" pivotButton="0" quotePrefix="0" xfId="0">
      <alignment horizontal="center" vertical="top"/>
    </xf>
    <xf numFmtId="0" fontId="5" fillId="0" borderId="11" pivotButton="0" quotePrefix="0" xfId="0"/>
    <xf numFmtId="0" fontId="2" fillId="2" borderId="29" applyAlignment="1" pivotButton="0" quotePrefix="0" xfId="0">
      <alignment vertical="top"/>
    </xf>
    <xf numFmtId="0" fontId="2" fillId="2" borderId="30" applyAlignment="1" pivotButton="0" quotePrefix="0" xfId="0">
      <alignment vertical="top"/>
    </xf>
    <xf numFmtId="0" fontId="2" fillId="2" borderId="23" applyAlignment="1" pivotButton="0" quotePrefix="0" xfId="0">
      <alignment vertical="top"/>
    </xf>
    <xf numFmtId="0" fontId="29" fillId="18" borderId="0" applyAlignment="1" pivotButton="0" quotePrefix="0" xfId="0">
      <alignment horizontal="center" vertical="bottom"/>
    </xf>
    <xf numFmtId="0" fontId="40" fillId="2" borderId="0" pivotButton="0" quotePrefix="0" xfId="0"/>
    <xf numFmtId="0" fontId="1" fillId="32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/>
    </xf>
    <xf numFmtId="49" fontId="1" fillId="17" borderId="0" pivotButton="0" quotePrefix="0" xfId="0"/>
    <xf numFmtId="0" fontId="52" fillId="17" borderId="0" applyAlignment="1" pivotButton="0" quotePrefix="0" xfId="0">
      <alignment horizontal="left"/>
    </xf>
    <xf numFmtId="0" fontId="2" fillId="17" borderId="0" pivotButton="0" quotePrefix="0" xfId="0"/>
    <xf numFmtId="0" fontId="1" fillId="21" borderId="0" applyAlignment="1" pivotButton="0" quotePrefix="0" xfId="0">
      <alignment horizontal="center" vertical="center"/>
    </xf>
    <xf numFmtId="49" fontId="1" fillId="21" borderId="0" applyAlignment="1" pivotButton="0" quotePrefix="0" xfId="0">
      <alignment vertical="top" wrapText="1"/>
    </xf>
    <xf numFmtId="0" fontId="2" fillId="21" borderId="0" pivotButton="0" quotePrefix="0" xfId="0"/>
    <xf numFmtId="0" fontId="1" fillId="21" borderId="0" applyAlignment="1" pivotButton="0" quotePrefix="0" xfId="0">
      <alignment horizontal="center" vertical="center"/>
    </xf>
    <xf numFmtId="0" fontId="2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center" vertical="center" wrapText="1"/>
    </xf>
    <xf numFmtId="4" fontId="2" fillId="0" borderId="7" applyAlignment="1" pivotButton="0" quotePrefix="0" xfId="0">
      <alignment horizontal="left" vertical="top"/>
    </xf>
    <xf numFmtId="0" fontId="1" fillId="21" borderId="0" pivotButton="0" quotePrefix="0" xfId="0"/>
    <xf numFmtId="0" fontId="1" fillId="21" borderId="0" pivotButton="0" quotePrefix="0" xfId="0"/>
    <xf numFmtId="49" fontId="2" fillId="6" borderId="25" pivotButton="0" quotePrefix="0" xfId="0"/>
    <xf numFmtId="0" fontId="5" fillId="0" borderId="26" pivotButton="0" quotePrefix="0" xfId="0"/>
    <xf numFmtId="0" fontId="5" fillId="0" borderId="27" pivotButton="0" quotePrefix="0" xfId="0"/>
    <xf numFmtId="165" fontId="51" fillId="21" borderId="0" applyAlignment="1" pivotButton="0" quotePrefix="0" xfId="0">
      <alignment horizontal="left" vertical="center"/>
    </xf>
    <xf numFmtId="165" fontId="50" fillId="21" borderId="0" applyAlignment="1" pivotButton="0" quotePrefix="0" xfId="0">
      <alignment horizontal="left" vertical="center"/>
    </xf>
    <xf numFmtId="0" fontId="9" fillId="21" borderId="0" applyAlignment="1" pivotButton="0" quotePrefix="0" xfId="0">
      <alignment horizontal="left" vertical="top"/>
    </xf>
    <xf numFmtId="0" fontId="1" fillId="21" borderId="0" applyAlignment="1" pivotButton="0" quotePrefix="0" xfId="0">
      <alignment horizontal="left" vertical="center"/>
    </xf>
    <xf numFmtId="0" fontId="50" fillId="21" borderId="0" applyAlignment="1" pivotButton="0" quotePrefix="0" xfId="0">
      <alignment horizontal="left" vertical="top"/>
    </xf>
    <xf numFmtId="0" fontId="2" fillId="0" borderId="28" pivotButton="0" quotePrefix="0" xfId="0"/>
    <xf numFmtId="165" fontId="50" fillId="21" borderId="0" applyAlignment="1" pivotButton="0" quotePrefix="0" xfId="0">
      <alignment horizontal="center" vertical="top"/>
    </xf>
    <xf numFmtId="0" fontId="2" fillId="21" borderId="0" pivotButton="0" quotePrefix="0" xfId="0"/>
    <xf numFmtId="0" fontId="40" fillId="2" borderId="7" pivotButton="0" quotePrefix="0" xfId="0"/>
    <xf numFmtId="0" fontId="20" fillId="13" borderId="7" applyAlignment="1" pivotButton="0" quotePrefix="0" xfId="0">
      <alignment horizontal="left" vertical="center"/>
    </xf>
    <xf numFmtId="0" fontId="20" fillId="32" borderId="7" applyAlignment="1" pivotButton="0" quotePrefix="0" xfId="0">
      <alignment horizontal="center" vertical="center"/>
    </xf>
    <xf numFmtId="0" fontId="20" fillId="34" borderId="7" applyAlignment="1" pivotButton="0" quotePrefix="0" xfId="0">
      <alignment horizontal="center" vertical="center"/>
    </xf>
    <xf numFmtId="0" fontId="20" fillId="11" borderId="7" applyAlignment="1" pivotButton="0" quotePrefix="0" xfId="0">
      <alignment horizontal="center" vertical="center"/>
    </xf>
    <xf numFmtId="0" fontId="20" fillId="13" borderId="30" applyAlignment="1" pivotButton="0" quotePrefix="0" xfId="0">
      <alignment horizontal="center" vertical="center"/>
    </xf>
    <xf numFmtId="0" fontId="11" fillId="15" borderId="10" applyAlignment="1" pivotButton="0" quotePrefix="0" xfId="0">
      <alignment horizontal="center" vertical="center"/>
    </xf>
    <xf numFmtId="0" fontId="11" fillId="15" borderId="10" applyAlignment="1" pivotButton="0" quotePrefix="0" xfId="0">
      <alignment horizontal="center" vertical="center" wrapText="1"/>
    </xf>
    <xf numFmtId="0" fontId="20" fillId="21" borderId="10" applyAlignment="1" pivotButton="0" quotePrefix="0" xfId="0">
      <alignment horizontal="center" vertical="center"/>
    </xf>
    <xf numFmtId="0" fontId="20" fillId="20" borderId="10" applyAlignment="1" pivotButton="0" quotePrefix="0" xfId="0">
      <alignment horizontal="center" vertical="center"/>
    </xf>
    <xf numFmtId="0" fontId="20" fillId="12" borderId="10" applyAlignment="1" pivotButton="0" quotePrefix="0" xfId="0">
      <alignment horizontal="center" vertical="center"/>
    </xf>
    <xf numFmtId="0" fontId="11" fillId="20" borderId="10" applyAlignment="1" pivotButton="0" quotePrefix="0" xfId="0">
      <alignment horizontal="center" vertical="top" wrapText="1"/>
    </xf>
    <xf numFmtId="0" fontId="11" fillId="20" borderId="10" applyAlignment="1" pivotButton="0" quotePrefix="0" xfId="0">
      <alignment horizontal="center" vertical="center" wrapText="1"/>
    </xf>
    <xf numFmtId="0" fontId="11" fillId="20" borderId="10" applyAlignment="1" pivotButton="0" quotePrefix="0" xfId="0">
      <alignment horizontal="left" vertical="top" wrapText="1"/>
    </xf>
    <xf numFmtId="4" fontId="6" fillId="6" borderId="10" applyAlignment="1" pivotButton="0" quotePrefix="0" xfId="0">
      <alignment horizontal="center" vertical="top" wrapText="1"/>
    </xf>
    <xf numFmtId="0" fontId="6" fillId="6" borderId="10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left" vertical="top" wrapText="1"/>
    </xf>
    <xf numFmtId="0" fontId="6" fillId="6" borderId="10" applyAlignment="1" pivotButton="0" quotePrefix="0" xfId="0">
      <alignment horizontal="center" vertical="top" wrapText="1"/>
    </xf>
    <xf numFmtId="0" fontId="40" fillId="2" borderId="10" pivotButton="0" quotePrefix="0" xfId="0"/>
    <xf numFmtId="0" fontId="11" fillId="11" borderId="29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41" fillId="35" borderId="29" applyAlignment="1" pivotButton="0" quotePrefix="0" xfId="0">
      <alignment horizontal="center" vertical="center" wrapText="1"/>
    </xf>
    <xf numFmtId="0" fontId="53" fillId="21" borderId="30" applyAlignment="1" pivotButton="0" quotePrefix="0" xfId="0">
      <alignment vertical="bottom"/>
    </xf>
    <xf numFmtId="0" fontId="20" fillId="21" borderId="0" applyAlignment="1" pivotButton="0" quotePrefix="0" xfId="0">
      <alignment horizontal="center" vertical="center"/>
    </xf>
    <xf numFmtId="0" fontId="39" fillId="21" borderId="0" applyAlignment="1" pivotButton="0" quotePrefix="0" xfId="0">
      <alignment horizontal="left" vertical="center"/>
    </xf>
    <xf numFmtId="0" fontId="54" fillId="9" borderId="10" applyAlignment="1" pivotButton="0" quotePrefix="0" xfId="0">
      <alignment horizontal="center" vertical="center"/>
    </xf>
    <xf numFmtId="0" fontId="5" fillId="0" borderId="34" pivotButton="0" quotePrefix="0" xfId="0"/>
    <xf numFmtId="0" fontId="12" fillId="12" borderId="35" applyAlignment="1" pivotButton="0" quotePrefix="0" xfId="0">
      <alignment horizontal="left" vertical="top"/>
    </xf>
    <xf numFmtId="0" fontId="40" fillId="12" borderId="36" applyAlignment="1" pivotButton="0" quotePrefix="0" xfId="0">
      <alignment vertical="top"/>
    </xf>
    <xf numFmtId="2" fontId="11" fillId="12" borderId="10" applyAlignment="1" pivotButton="0" quotePrefix="0" xfId="0">
      <alignment horizontal="center" vertical="top"/>
    </xf>
    <xf numFmtId="0" fontId="12" fillId="21" borderId="0" applyAlignment="1" pivotButton="0" quotePrefix="0" xfId="0">
      <alignment horizontal="left" vertical="top"/>
    </xf>
    <xf numFmtId="49" fontId="12" fillId="7" borderId="7" applyAlignment="1" pivotButton="0" quotePrefix="0" xfId="0">
      <alignment vertical="top" wrapText="1"/>
    </xf>
    <xf numFmtId="0" fontId="12" fillId="7" borderId="10" applyAlignment="1" pivotButton="0" quotePrefix="0" xfId="0">
      <alignment horizontal="center" vertical="top"/>
    </xf>
    <xf numFmtId="3" fontId="12" fillId="7" borderId="10" applyAlignment="1" pivotButton="0" quotePrefix="0" xfId="0">
      <alignment horizontal="center" vertical="top"/>
    </xf>
    <xf numFmtId="3" fontId="12" fillId="0" borderId="10" applyAlignment="1" pivotButton="0" quotePrefix="0" xfId="0">
      <alignment horizontal="center" vertical="top"/>
    </xf>
    <xf numFmtId="0" fontId="38" fillId="0" borderId="11" applyAlignment="1" pivotButton="0" quotePrefix="0" xfId="0">
      <alignment vertical="top" wrapText="1"/>
    </xf>
    <xf numFmtId="2" fontId="16" fillId="8" borderId="10" applyAlignment="1" pivotButton="0" quotePrefix="0" xfId="0">
      <alignment horizontal="center" vertical="top"/>
    </xf>
    <xf numFmtId="0" fontId="12" fillId="21" borderId="0" applyAlignment="1" pivotButton="0" quotePrefix="0" xfId="0">
      <alignment horizontal="center" vertical="top"/>
    </xf>
    <xf numFmtId="3" fontId="12" fillId="7" borderId="10" applyAlignment="1" pivotButton="0" quotePrefix="0" xfId="0">
      <alignment horizontal="center" vertical="top"/>
    </xf>
    <xf numFmtId="3" fontId="12" fillId="12" borderId="35" applyAlignment="1" pivotButton="0" quotePrefix="0" xfId="0">
      <alignment horizontal="left" vertical="top"/>
    </xf>
    <xf numFmtId="0" fontId="55" fillId="21" borderId="0" pivotButton="0" quotePrefix="0" xfId="0"/>
    <xf numFmtId="0" fontId="38" fillId="0" borderId="11" applyAlignment="1" pivotButton="0" quotePrefix="0" xfId="0">
      <alignment vertical="top" wrapText="1"/>
    </xf>
    <xf numFmtId="3" fontId="12" fillId="0" borderId="10" applyAlignment="1" pivotButton="0" quotePrefix="0" xfId="0">
      <alignment horizontal="center" vertical="top"/>
    </xf>
    <xf numFmtId="0" fontId="11" fillId="17" borderId="7" applyAlignment="1" pivotButton="0" quotePrefix="0" xfId="0">
      <alignment horizontal="left" vertical="top"/>
    </xf>
    <xf numFmtId="0" fontId="11" fillId="21" borderId="7" applyAlignment="1" pivotButton="0" quotePrefix="0" xfId="0">
      <alignment horizontal="left" vertical="top"/>
    </xf>
    <xf numFmtId="0" fontId="11" fillId="28" borderId="7" applyAlignment="1" pivotButton="0" quotePrefix="0" xfId="0">
      <alignment horizontal="left" vertical="top"/>
    </xf>
    <xf numFmtId="0" fontId="40" fillId="22" borderId="7" applyAlignment="1" pivotButton="0" quotePrefix="0" xfId="0">
      <alignment horizontal="left" vertical="top" wrapText="1"/>
    </xf>
    <xf numFmtId="0" fontId="40" fillId="6" borderId="7" applyAlignment="1" pivotButton="0" quotePrefix="0" xfId="0">
      <alignment horizontal="left" vertical="top" wrapText="1"/>
    </xf>
    <xf numFmtId="0" fontId="40" fillId="22" borderId="7" applyAlignment="1" pivotButton="0" quotePrefix="0" xfId="0">
      <alignment horizontal="left" vertical="top"/>
    </xf>
    <xf numFmtId="0" fontId="12" fillId="22" borderId="7" applyAlignment="1" pivotButton="0" quotePrefix="0" xfId="0">
      <alignment horizontal="left" vertical="top" wrapText="1"/>
    </xf>
    <xf numFmtId="0" fontId="40" fillId="6" borderId="7" applyAlignment="1" pivotButton="0" quotePrefix="0" xfId="0">
      <alignment vertical="top" wrapText="1"/>
    </xf>
    <xf numFmtId="0" fontId="11" fillId="28" borderId="7" applyAlignment="1" pivotButton="0" quotePrefix="0" xfId="0">
      <alignment horizontal="left" vertical="top"/>
    </xf>
    <xf numFmtId="0" fontId="11" fillId="34" borderId="7" applyAlignment="1" pivotButton="0" quotePrefix="0" xfId="0">
      <alignment horizontal="center" vertical="center"/>
    </xf>
    <xf numFmtId="0" fontId="40" fillId="0" borderId="0" pivotButton="0" quotePrefix="0" xfId="0"/>
    <xf numFmtId="0" fontId="40" fillId="0" borderId="0" pivotButton="0" quotePrefix="0" xfId="0"/>
    <xf numFmtId="0" fontId="29" fillId="36" borderId="0" applyAlignment="1" pivotButton="0" quotePrefix="0" xfId="0">
      <alignment horizontal="center" vertical="bottom"/>
    </xf>
    <xf numFmtId="49" fontId="1" fillId="17" borderId="0" pivotButton="0" quotePrefix="0" xfId="0"/>
    <xf numFmtId="0" fontId="1" fillId="21" borderId="0" applyAlignment="1" pivotButton="0" quotePrefix="0" xfId="0">
      <alignment horizontal="center"/>
    </xf>
    <xf numFmtId="49" fontId="1" fillId="21" borderId="0" pivotButton="0" quotePrefix="0" xfId="0"/>
    <xf numFmtId="4" fontId="2" fillId="6" borderId="7" applyAlignment="1" pivotButton="0" quotePrefix="0" xfId="0">
      <alignment horizontal="left" vertical="top"/>
    </xf>
    <xf numFmtId="0" fontId="2" fillId="2" borderId="7" pivotButton="0" quotePrefix="0" xfId="0"/>
    <xf numFmtId="0" fontId="1" fillId="37" borderId="0" pivotButton="0" quotePrefix="0" xfId="0"/>
    <xf numFmtId="0" fontId="1" fillId="32" borderId="37" applyAlignment="1" pivotButton="0" quotePrefix="0" xfId="0">
      <alignment horizontal="center"/>
    </xf>
    <xf numFmtId="0" fontId="1" fillId="32" borderId="0" applyAlignment="1" pivotButton="0" quotePrefix="0" xfId="0">
      <alignment horizontal="center"/>
    </xf>
    <xf numFmtId="0" fontId="5" fillId="7" borderId="37" pivotButton="0" quotePrefix="0" xfId="0"/>
    <xf numFmtId="0" fontId="1" fillId="21" borderId="37" applyAlignment="1" pivotButton="0" quotePrefix="0" xfId="0">
      <alignment horizontal="center" vertical="center"/>
    </xf>
    <xf numFmtId="0" fontId="1" fillId="38" borderId="0" applyAlignment="1" pivotButton="0" quotePrefix="0" xfId="0">
      <alignment vertical="center"/>
    </xf>
    <xf numFmtId="0" fontId="40" fillId="38" borderId="0" applyAlignment="1" pivotButton="0" quotePrefix="0" xfId="0">
      <alignment vertical="center"/>
    </xf>
    <xf numFmtId="0" fontId="1" fillId="38" borderId="0" applyAlignment="1" pivotButton="0" quotePrefix="0" xfId="0">
      <alignment vertical="center"/>
    </xf>
    <xf numFmtId="0" fontId="40" fillId="38" borderId="0" applyAlignment="1" pivotButton="0" quotePrefix="0" xfId="0">
      <alignment vertical="center"/>
    </xf>
    <xf numFmtId="0" fontId="40" fillId="2" borderId="29" pivotButton="0" quotePrefix="0" xfId="0"/>
    <xf numFmtId="0" fontId="56" fillId="6" borderId="0" applyAlignment="1" pivotButton="0" quotePrefix="0" xfId="0">
      <alignment vertical="center"/>
    </xf>
    <xf numFmtId="0" fontId="40" fillId="6" borderId="0" applyAlignment="1" pivotButton="0" quotePrefix="0" xfId="0">
      <alignment vertical="center"/>
    </xf>
    <xf numFmtId="0" fontId="42" fillId="38" borderId="0" applyAlignment="1" pivotButton="0" quotePrefix="0" xfId="0">
      <alignment vertical="center"/>
    </xf>
    <xf numFmtId="0" fontId="40" fillId="6" borderId="0" applyAlignment="1" pivotButton="0" quotePrefix="0" xfId="0">
      <alignment vertical="center"/>
    </xf>
    <xf numFmtId="0" fontId="40" fillId="6" borderId="0" applyAlignment="1" pivotButton="0" quotePrefix="0" xfId="0">
      <alignment vertical="bottom"/>
    </xf>
    <xf numFmtId="0" fontId="57" fillId="6" borderId="0" pivotButton="0" quotePrefix="0" xfId="0"/>
    <xf numFmtId="0" fontId="58" fillId="2" borderId="0" applyAlignment="1" pivotButton="0" quotePrefix="0" xfId="0">
      <alignment horizontal="center" vertical="top" wrapText="1"/>
    </xf>
    <xf numFmtId="0" fontId="58" fillId="2" borderId="0" applyAlignment="1" pivotButton="0" quotePrefix="0" xfId="0">
      <alignment vertical="top"/>
    </xf>
    <xf numFmtId="0" fontId="58" fillId="0" borderId="0" applyAlignment="1" pivotButton="0" quotePrefix="0" xfId="0">
      <alignment vertical="top"/>
    </xf>
    <xf numFmtId="0" fontId="42" fillId="0" borderId="0" applyAlignment="1" pivotButton="0" quotePrefix="0" xfId="0">
      <alignment vertical="top"/>
    </xf>
    <xf numFmtId="0" fontId="59" fillId="2" borderId="0" applyAlignment="1" pivotButton="0" quotePrefix="0" xfId="0">
      <alignment vertical="top"/>
    </xf>
    <xf numFmtId="0" fontId="58" fillId="2" borderId="0" applyAlignment="1" pivotButton="0" quotePrefix="0" xfId="0">
      <alignment horizontal="center" vertical="top" wrapText="1"/>
    </xf>
    <xf numFmtId="0" fontId="46" fillId="0" borderId="0" applyAlignment="1" pivotButton="0" quotePrefix="0" xfId="0">
      <alignment vertical="top" wrapText="1"/>
    </xf>
    <xf numFmtId="0" fontId="46" fillId="0" borderId="0" applyAlignment="1" pivotButton="0" quotePrefix="0" xfId="0">
      <alignment vertical="top"/>
    </xf>
    <xf numFmtId="0" fontId="46" fillId="0" borderId="0" applyAlignment="1" pivotButton="0" quotePrefix="0" xfId="0">
      <alignment vertical="top"/>
    </xf>
    <xf numFmtId="0" fontId="46" fillId="0" borderId="0" applyAlignment="1" pivotButton="0" quotePrefix="0" xfId="0">
      <alignment vertical="top"/>
    </xf>
    <xf numFmtId="0" fontId="46" fillId="0" borderId="0" applyAlignment="1" pivotButton="0" quotePrefix="0" xfId="0">
      <alignment vertical="top" wrapText="1"/>
    </xf>
    <xf numFmtId="0" fontId="46" fillId="0" borderId="0" applyAlignment="1" pivotButton="0" quotePrefix="0" xfId="0">
      <alignment vertical="top" wrapText="1"/>
    </xf>
    <xf numFmtId="0" fontId="59" fillId="0" borderId="0" applyAlignment="1" pivotButton="0" quotePrefix="0" xfId="0">
      <alignment vertical="top"/>
    </xf>
    <xf numFmtId="0" fontId="58" fillId="2" borderId="0" applyAlignment="1" pivotButton="0" quotePrefix="0" xfId="0">
      <alignment horizontal="center" vertical="top" wrapText="1"/>
    </xf>
    <xf numFmtId="4" fontId="58" fillId="2" borderId="0" applyAlignment="1" pivotButton="0" quotePrefix="0" xfId="0">
      <alignment horizontal="center" vertical="top" wrapText="1"/>
    </xf>
    <xf numFmtId="0" fontId="40" fillId="0" borderId="0" applyAlignment="1" pivotButton="0" quotePrefix="0" xfId="0">
      <alignment horizontal="center" vertical="top"/>
    </xf>
    <xf numFmtId="4" fontId="40" fillId="0" borderId="0" applyAlignment="1" pivotButton="0" quotePrefix="0" xfId="0">
      <alignment vertical="top"/>
    </xf>
    <xf numFmtId="0" fontId="60" fillId="2" borderId="0" applyAlignment="1" pivotButton="0" quotePrefix="0" xfId="0">
      <alignment horizontal="center" vertical="bottom"/>
    </xf>
    <xf numFmtId="0" fontId="60" fillId="2" borderId="0" applyAlignment="1" pivotButton="0" quotePrefix="0" xfId="0">
      <alignment horizontal="center" vertical="bottom"/>
    </xf>
    <xf numFmtId="0" fontId="38" fillId="0" borderId="0" applyAlignment="1" pivotButton="0" quotePrefix="0" xfId="0">
      <alignment vertical="bottom"/>
    </xf>
    <xf numFmtId="0" fontId="61" fillId="0" borderId="0" applyAlignment="1" pivotButton="0" quotePrefix="0" xfId="0">
      <alignment vertical="bottom"/>
    </xf>
    <xf numFmtId="0" fontId="6" fillId="6" borderId="0" pivotButton="0" quotePrefix="0" xfId="0"/>
    <xf numFmtId="0" fontId="17" fillId="2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49" fontId="6" fillId="6" borderId="0" applyAlignment="1" pivotButton="0" quotePrefix="0" xfId="0">
      <alignment horizontal="center" vertical="bottom"/>
    </xf>
    <xf numFmtId="0" fontId="6" fillId="6" borderId="0" applyAlignment="1" pivotButton="0" quotePrefix="0" xfId="0">
      <alignment horizontal="center" vertical="bottom"/>
    </xf>
    <xf numFmtId="49" fontId="17" fillId="2" borderId="0" applyAlignment="1" pivotButton="0" quotePrefix="0" xfId="0">
      <alignment horizontal="center" vertical="bottom"/>
    </xf>
    <xf numFmtId="49" fontId="6" fillId="0" borderId="0" applyAlignment="1" pivotButton="0" quotePrefix="0" xfId="0">
      <alignment horizontal="center" vertical="bottom"/>
    </xf>
    <xf numFmtId="49" fontId="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center" vertical="bottom"/>
    </xf>
    <xf numFmtId="49" fontId="6" fillId="0" borderId="0" applyAlignment="1" pivotButton="0" quotePrefix="0" xfId="0">
      <alignment vertical="bottom"/>
    </xf>
    <xf numFmtId="49" fontId="38" fillId="0" borderId="0" applyAlignment="1" pivotButton="0" quotePrefix="0" xfId="0">
      <alignment horizontal="center" vertical="bottom"/>
    </xf>
    <xf numFmtId="49" fontId="38" fillId="0" borderId="0" applyAlignment="1" pivotButton="0" quotePrefix="0" xfId="0">
      <alignment vertical="bottom"/>
    </xf>
    <xf numFmtId="0" fontId="38" fillId="0" borderId="0" applyAlignment="1" pivotButton="0" quotePrefix="0" xfId="0">
      <alignment horizontal="center"/>
    </xf>
    <xf numFmtId="49" fontId="38" fillId="0" borderId="0" pivotButton="0" quotePrefix="0" xfId="0"/>
    <xf numFmtId="0" fontId="38" fillId="0" borderId="0" pivotButton="0" quotePrefix="0" xfId="0"/>
    <xf numFmtId="0" fontId="6" fillId="2" borderId="0" applyAlignment="1" pivotButton="0" quotePrefix="0" xfId="0">
      <alignment vertical="bottom"/>
    </xf>
    <xf numFmtId="49" fontId="46" fillId="0" borderId="0" applyAlignment="1" pivotButton="0" quotePrefix="0" xfId="0">
      <alignment vertical="bottom"/>
    </xf>
    <xf numFmtId="0" fontId="40" fillId="0" borderId="0" applyAlignment="1" pivotButton="0" quotePrefix="0" xfId="0">
      <alignment vertical="bottom"/>
    </xf>
    <xf numFmtId="0" fontId="59" fillId="0" borderId="0" applyAlignment="1" pivotButton="0" quotePrefix="0" xfId="0">
      <alignment vertical="bottom"/>
    </xf>
    <xf numFmtId="49" fontId="46" fillId="0" borderId="0" applyAlignment="1" pivotButton="0" quotePrefix="0" xfId="0">
      <alignment horizontal="center" vertical="bottom"/>
    </xf>
    <xf numFmtId="0" fontId="40" fillId="0" borderId="0" applyAlignment="1" pivotButton="0" quotePrefix="0" xfId="0">
      <alignment horizontal="center" vertical="bottom"/>
    </xf>
    <xf numFmtId="49" fontId="58" fillId="2" borderId="0" applyAlignment="1" pivotButton="0" quotePrefix="0" xfId="0">
      <alignment horizontal="center" vertical="top"/>
    </xf>
    <xf numFmtId="0" fontId="58" fillId="2" borderId="0" applyAlignment="1" pivotButton="0" quotePrefix="0" xfId="0">
      <alignment horizontal="center" vertical="top"/>
    </xf>
    <xf numFmtId="49" fontId="58" fillId="2" borderId="0" applyAlignment="1" pivotButton="0" quotePrefix="0" xfId="0">
      <alignment horizontal="center" vertical="top"/>
    </xf>
    <xf numFmtId="49" fontId="40" fillId="0" borderId="0" applyAlignment="1" pivotButton="0" quotePrefix="0" xfId="0">
      <alignment vertical="top"/>
    </xf>
    <xf numFmtId="0" fontId="40" fillId="6" borderId="0" applyAlignment="1" pivotButton="0" quotePrefix="0" xfId="0">
      <alignment horizontal="center" vertical="top"/>
    </xf>
    <xf numFmtId="0" fontId="40" fillId="6" borderId="0" applyAlignment="1" pivotButton="0" quotePrefix="0" xfId="0">
      <alignment horizontal="center" vertical="top"/>
    </xf>
    <xf numFmtId="0" fontId="40" fillId="0" borderId="0" applyAlignment="1" pivotButton="0" quotePrefix="0" xfId="0">
      <alignment horizontal="center" vertical="top"/>
    </xf>
    <xf numFmtId="0" fontId="40" fillId="0" borderId="0" applyAlignment="1" pivotButton="0" quotePrefix="0" xfId="0">
      <alignment vertical="top"/>
    </xf>
    <xf numFmtId="49" fontId="58" fillId="2" borderId="0" applyAlignment="1" pivotButton="0" quotePrefix="0" xfId="0">
      <alignment horizontal="center" vertical="top"/>
    </xf>
    <xf numFmtId="49" fontId="59" fillId="8" borderId="0" applyAlignment="1" pivotButton="0" quotePrefix="0" xfId="0">
      <alignment vertical="top"/>
    </xf>
    <xf numFmtId="49" fontId="41" fillId="8" borderId="0" applyAlignment="1" pivotButton="0" quotePrefix="0" xfId="0">
      <alignment vertical="top"/>
    </xf>
    <xf numFmtId="49" fontId="40" fillId="0" borderId="0" applyAlignment="1" pivotButton="0" quotePrefix="0" xfId="0">
      <alignment horizontal="center" vertical="top"/>
    </xf>
    <xf numFmtId="49" fontId="59" fillId="39" borderId="0" applyAlignment="1" pivotButton="0" quotePrefix="0" xfId="0">
      <alignment vertical="top"/>
    </xf>
    <xf numFmtId="49" fontId="40" fillId="0" borderId="0" applyAlignment="1" pivotButton="0" quotePrefix="0" xfId="0">
      <alignment horizontal="center" vertical="top"/>
    </xf>
    <xf numFmtId="49" fontId="40" fillId="0" borderId="0" applyAlignment="1" pivotButton="0" quotePrefix="0" xfId="0">
      <alignment vertical="top"/>
    </xf>
    <xf numFmtId="0" fontId="41" fillId="0" borderId="0" applyAlignment="1" pivotButton="0" quotePrefix="0" xfId="0">
      <alignment vertical="top"/>
    </xf>
    <xf numFmtId="49" fontId="41" fillId="39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 wrapText="1"/>
    </xf>
    <xf numFmtId="0" fontId="58" fillId="40" borderId="0" applyAlignment="1" pivotButton="0" quotePrefix="0" xfId="0">
      <alignment horizontal="center" vertical="center" wrapText="1"/>
    </xf>
    <xf numFmtId="0" fontId="58" fillId="41" borderId="0" applyAlignment="1" pivotButton="0" quotePrefix="0" xfId="0">
      <alignment horizontal="center" vertical="center" wrapText="1"/>
    </xf>
    <xf numFmtId="0" fontId="58" fillId="42" borderId="0" applyAlignment="1" pivotButton="0" quotePrefix="0" xfId="0">
      <alignment horizontal="center" vertical="center" wrapText="1"/>
    </xf>
    <xf numFmtId="0" fontId="41" fillId="29" borderId="0" applyAlignment="1" pivotButton="0" quotePrefix="0" xfId="0">
      <alignment horizontal="center" vertical="center" wrapText="1"/>
    </xf>
    <xf numFmtId="0" fontId="40" fillId="30" borderId="0" applyAlignment="1" pivotButton="0" quotePrefix="0" xfId="0">
      <alignment vertical="center"/>
    </xf>
    <xf numFmtId="0" fontId="40" fillId="3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0" fillId="38" borderId="0" applyAlignment="1" pivotButton="0" quotePrefix="0" xfId="0">
      <alignment horizontal="center" vertical="center"/>
    </xf>
    <xf numFmtId="0" fontId="40" fillId="38" borderId="0" applyAlignment="1" pivotButton="0" quotePrefix="0" xfId="0">
      <alignment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center" vertical="center"/>
    </xf>
    <xf numFmtId="0" fontId="40" fillId="38" borderId="0" applyAlignment="1" pivotButton="0" quotePrefix="0" xfId="0">
      <alignment vertical="center"/>
    </xf>
    <xf numFmtId="0" fontId="59" fillId="30" borderId="0" applyAlignment="1" pivotButton="0" quotePrefix="0" xfId="0">
      <alignment vertical="center"/>
    </xf>
    <xf numFmtId="0" fontId="59" fillId="3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0" fontId="59" fillId="38" borderId="0" applyAlignment="1" pivotButton="0" quotePrefix="0" xfId="0">
      <alignment horizontal="center" vertical="center"/>
    </xf>
    <xf numFmtId="0" fontId="59" fillId="38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0" fontId="40" fillId="20" borderId="0" applyAlignment="1" pivotButton="0" quotePrefix="0" xfId="0">
      <alignment vertical="center"/>
    </xf>
    <xf numFmtId="0" fontId="40" fillId="20" borderId="0" applyAlignment="1" pivotButton="0" quotePrefix="0" xfId="0">
      <alignment vertical="center"/>
    </xf>
    <xf numFmtId="0" fontId="59" fillId="20" borderId="0" applyAlignment="1" pivotButton="0" quotePrefix="0" xfId="0">
      <alignment vertical="center"/>
    </xf>
    <xf numFmtId="0" fontId="59" fillId="20" borderId="0" applyAlignment="1" pivotButton="0" quotePrefix="0" xfId="0">
      <alignment vertical="center"/>
    </xf>
    <xf numFmtId="0" fontId="40" fillId="22" borderId="0" applyAlignment="1" pivotButton="0" quotePrefix="0" xfId="0">
      <alignment vertical="center"/>
    </xf>
    <xf numFmtId="0" fontId="40" fillId="22" borderId="0" applyAlignment="1" pivotButton="0" quotePrefix="0" xfId="0">
      <alignment vertical="center"/>
    </xf>
    <xf numFmtId="0" fontId="59" fillId="22" borderId="0" applyAlignment="1" pivotButton="0" quotePrefix="0" xfId="0">
      <alignment vertical="center"/>
    </xf>
    <xf numFmtId="0" fontId="59" fillId="22" borderId="0" applyAlignment="1" pivotButton="0" quotePrefix="0" xfId="0">
      <alignment vertical="center"/>
    </xf>
    <xf numFmtId="0" fontId="40" fillId="12" borderId="0" applyAlignment="1" pivotButton="0" quotePrefix="0" xfId="0">
      <alignment vertical="center"/>
    </xf>
    <xf numFmtId="0" fontId="40" fillId="12" borderId="0" applyAlignment="1" pivotButton="0" quotePrefix="0" xfId="0">
      <alignment vertical="center"/>
    </xf>
    <xf numFmtId="0" fontId="59" fillId="12" borderId="0" applyAlignment="1" pivotButton="0" quotePrefix="0" xfId="0">
      <alignment vertical="center"/>
    </xf>
    <xf numFmtId="0" fontId="59" fillId="12" borderId="0" applyAlignment="1" pivotButton="0" quotePrefix="0" xfId="0">
      <alignment vertical="center"/>
    </xf>
    <xf numFmtId="0" fontId="40" fillId="21" borderId="0" applyAlignment="1" pivotButton="0" quotePrefix="0" xfId="0">
      <alignment vertical="center"/>
    </xf>
    <xf numFmtId="0" fontId="40" fillId="21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49" fontId="16" fillId="6" borderId="10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49" fontId="16" fillId="6" borderId="10" applyAlignment="1" pivotButton="0" quotePrefix="0" xfId="0">
      <alignment horizontal="left" vertical="center" wrapText="1"/>
    </xf>
    <xf numFmtId="49" fontId="12" fillId="6" borderId="10" applyAlignment="1" pivotButton="0" quotePrefix="0" xfId="0">
      <alignment vertical="center"/>
    </xf>
    <xf numFmtId="49" fontId="16" fillId="0" borderId="10" applyAlignment="1" pivotButton="0" quotePrefix="0" xfId="0">
      <alignment horizontal="left" vertical="center" wrapText="1"/>
    </xf>
    <xf numFmtId="49" fontId="16" fillId="6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49" fontId="12" fillId="0" borderId="10" applyAlignment="1" pivotButton="0" quotePrefix="0" xfId="0">
      <alignment vertical="center" wrapText="1"/>
    </xf>
    <xf numFmtId="0" fontId="16" fillId="6" borderId="3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16" fillId="6" borderId="39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16" fillId="6" borderId="10" applyAlignment="1" pivotButton="0" quotePrefix="0" xfId="0">
      <alignment vertical="center"/>
    </xf>
    <xf numFmtId="0" fontId="12" fillId="6" borderId="10" applyAlignment="1" pivotButton="0" quotePrefix="0" xfId="0">
      <alignment horizontal="left" vertical="center"/>
    </xf>
    <xf numFmtId="0" fontId="12" fillId="6" borderId="10" applyAlignment="1" pivotButton="0" quotePrefix="0" xfId="0">
      <alignment horizontal="left" vertical="top" wrapText="1"/>
    </xf>
    <xf numFmtId="49" fontId="12" fillId="6" borderId="10" applyAlignment="1" pivotButton="0" quotePrefix="0" xfId="0">
      <alignment horizontal="left" vertical="top" wrapText="1"/>
    </xf>
    <xf numFmtId="0" fontId="11" fillId="11" borderId="10" applyAlignment="1" pivotButton="0" quotePrefix="0" xfId="0">
      <alignment horizontal="left" vertical="center"/>
    </xf>
    <xf numFmtId="4" fontId="11" fillId="12" borderId="10" applyAlignment="1" pivotButton="0" quotePrefix="0" xfId="0">
      <alignment horizontal="right" vertical="center"/>
    </xf>
    <xf numFmtId="4" fontId="12" fillId="6" borderId="10" applyAlignment="1" pivotButton="0" quotePrefix="0" xfId="0">
      <alignment horizontal="right" vertical="center"/>
    </xf>
    <xf numFmtId="0" fontId="36" fillId="15" borderId="20" applyAlignment="1" pivotButton="0" quotePrefix="0" xfId="0">
      <alignment horizontal="center" vertical="center"/>
    </xf>
    <xf numFmtId="0" fontId="36" fillId="15" borderId="13" applyAlignment="1" pivotButton="0" quotePrefix="0" xfId="0">
      <alignment horizontal="center" vertical="center" wrapText="1"/>
    </xf>
    <xf numFmtId="0" fontId="36" fillId="11" borderId="13" applyAlignment="1" pivotButton="0" quotePrefix="0" xfId="0">
      <alignment horizontal="center" vertical="center"/>
    </xf>
    <xf numFmtId="0" fontId="36" fillId="16" borderId="10" applyAlignment="1" pivotButton="0" quotePrefix="0" xfId="0">
      <alignment horizontal="center" vertical="center"/>
    </xf>
    <xf numFmtId="0" fontId="36" fillId="16" borderId="10" applyAlignment="1" pivotButton="0" quotePrefix="0" xfId="0">
      <alignment horizontal="center" vertical="center" wrapText="1"/>
    </xf>
    <xf numFmtId="0" fontId="36" fillId="17" borderId="9" applyAlignment="1" pivotButton="0" quotePrefix="0" xfId="0">
      <alignment horizontal="center" vertical="center"/>
    </xf>
    <xf numFmtId="0" fontId="36" fillId="17" borderId="10" applyAlignment="1" pivotButton="0" quotePrefix="0" xfId="0">
      <alignment horizontal="center" vertical="center"/>
    </xf>
    <xf numFmtId="0" fontId="36" fillId="15" borderId="10" applyAlignment="1" pivotButton="0" quotePrefix="0" xfId="0">
      <alignment horizontal="center" vertical="center"/>
    </xf>
    <xf numFmtId="0" fontId="36" fillId="15" borderId="10" applyAlignment="1" pivotButton="0" quotePrefix="0" xfId="0">
      <alignment horizontal="center" vertical="center" wrapText="1"/>
    </xf>
    <xf numFmtId="0" fontId="42" fillId="18" borderId="10" applyAlignment="1" pivotButton="0" quotePrefix="0" xfId="0">
      <alignment horizontal="center" vertical="center" wrapText="1"/>
    </xf>
    <xf numFmtId="0" fontId="42" fillId="18" borderId="9" applyAlignment="1" pivotButton="0" quotePrefix="0" xfId="0">
      <alignment horizontal="center" vertical="center" wrapText="1"/>
    </xf>
    <xf numFmtId="0" fontId="36" fillId="18" borderId="10" applyAlignment="1" pivotButton="0" quotePrefix="0" xfId="0">
      <alignment horizontal="center" vertical="center"/>
    </xf>
    <xf numFmtId="0" fontId="0" fillId="0" borderId="20" pivotButton="0" quotePrefix="0" xfId="0"/>
    <xf numFmtId="49" fontId="2" fillId="6" borderId="10" applyAlignment="1" pivotButton="0" quotePrefix="0" xfId="0">
      <alignment horizontal="left" vertical="center"/>
    </xf>
    <xf numFmtId="49" fontId="2" fillId="6" borderId="42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3" fillId="29" borderId="10" applyAlignment="1" pivotButton="0" quotePrefix="0" xfId="0">
      <alignment horizontal="center" vertical="center"/>
    </xf>
    <xf numFmtId="0" fontId="11" fillId="15" borderId="7" applyAlignment="1" pivotButton="0" quotePrefix="0" xfId="0">
      <alignment horizontal="center" vertical="top"/>
    </xf>
    <xf numFmtId="0" fontId="11" fillId="15" borderId="10" applyAlignment="1" pivotButton="0" quotePrefix="0" xfId="0">
      <alignment horizontal="center" vertical="top" wrapText="1"/>
    </xf>
    <xf numFmtId="0" fontId="11" fillId="15" borderId="10" applyAlignment="1" pivotButton="0" quotePrefix="0" xfId="0">
      <alignment horizontal="center" vertical="top"/>
    </xf>
    <xf numFmtId="0" fontId="20" fillId="30" borderId="10" applyAlignment="1" pivotButton="0" quotePrefix="0" xfId="0">
      <alignment horizontal="center" vertical="top" wrapText="1"/>
    </xf>
    <xf numFmtId="0" fontId="20" fillId="30" borderId="10" applyAlignment="1" pivotButton="0" quotePrefix="0" xfId="0">
      <alignment horizontal="center" vertical="top"/>
    </xf>
    <xf numFmtId="0" fontId="0" fillId="0" borderId="30" pivotButton="0" quotePrefix="0" xfId="0"/>
    <xf numFmtId="0" fontId="0" fillId="0" borderId="23" pivotButton="0" quotePrefix="0" xfId="0"/>
    <xf numFmtId="0" fontId="0" fillId="0" borderId="11" pivotButton="0" quotePrefix="0" xfId="0"/>
    <xf numFmtId="0" fontId="16" fillId="0" borderId="10" applyAlignment="1" pivotButton="0" quotePrefix="0" xfId="0">
      <alignment horizontal="left" vertical="top" wrapText="1"/>
    </xf>
    <xf numFmtId="0" fontId="11" fillId="11" borderId="10" applyAlignment="1" pivotButton="0" quotePrefix="0" xfId="0">
      <alignment horizontal="left" vertical="top"/>
    </xf>
    <xf numFmtId="0" fontId="11" fillId="11" borderId="10" applyAlignment="1" pivotButton="0" quotePrefix="0" xfId="0">
      <alignment horizontal="center" vertical="top"/>
    </xf>
    <xf numFmtId="0" fontId="20" fillId="11" borderId="10" applyAlignment="1" pivotButton="0" quotePrefix="0" xfId="0">
      <alignment horizontal="center" vertical="top" wrapText="1"/>
    </xf>
    <xf numFmtId="0" fontId="11" fillId="12" borderId="10" applyAlignment="1" pivotButton="0" quotePrefix="0" xfId="0">
      <alignment horizontal="left" vertical="top"/>
    </xf>
    <xf numFmtId="49" fontId="12" fillId="7" borderId="10" applyAlignment="1" pivotButton="0" quotePrefix="0" xfId="0">
      <alignment horizontal="left" vertical="top" wrapText="1"/>
    </xf>
    <xf numFmtId="0" fontId="12" fillId="33" borderId="10" applyAlignment="1" pivotButton="0" quotePrefix="0" xfId="0">
      <alignment horizontal="left" vertical="top" wrapText="1"/>
    </xf>
    <xf numFmtId="4" fontId="2" fillId="0" borderId="10" applyAlignment="1" pivotButton="0" quotePrefix="0" xfId="0">
      <alignment horizontal="left" vertical="top"/>
    </xf>
    <xf numFmtId="49" fontId="2" fillId="6" borderId="42" pivotButton="0" quotePrefix="0" xfId="0"/>
    <xf numFmtId="0" fontId="20" fillId="13" borderId="10" applyAlignment="1" pivotButton="0" quotePrefix="0" xfId="0">
      <alignment horizontal="left" vertical="center"/>
    </xf>
    <xf numFmtId="0" fontId="20" fillId="32" borderId="10" applyAlignment="1" pivotButton="0" quotePrefix="0" xfId="0">
      <alignment horizontal="center" vertical="center"/>
    </xf>
    <xf numFmtId="0" fontId="20" fillId="34" borderId="10" applyAlignment="1" pivotButton="0" quotePrefix="0" xfId="0">
      <alignment horizontal="center" vertical="center"/>
    </xf>
    <xf numFmtId="0" fontId="20" fillId="11" borderId="10" applyAlignment="1" pivotButton="0" quotePrefix="0" xfId="0">
      <alignment horizontal="center" vertical="center"/>
    </xf>
    <xf numFmtId="0" fontId="20" fillId="1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left" vertical="top" wrapText="1"/>
    </xf>
    <xf numFmtId="0" fontId="41" fillId="35" borderId="10" applyAlignment="1" pivotButton="0" quotePrefix="0" xfId="0">
      <alignment horizontal="center" vertical="center" wrapText="1"/>
    </xf>
    <xf numFmtId="0" fontId="11" fillId="12" borderId="45" applyAlignment="1" pivotButton="0" quotePrefix="0" xfId="0">
      <alignment horizontal="left" vertical="top"/>
    </xf>
    <xf numFmtId="0" fontId="0" fillId="0" borderId="34" pivotButton="0" quotePrefix="0" xfId="0"/>
    <xf numFmtId="0" fontId="40" fillId="12" borderId="44" applyAlignment="1" pivotButton="0" quotePrefix="0" xfId="0">
      <alignment vertical="top"/>
    </xf>
    <xf numFmtId="49" fontId="12" fillId="7" borderId="10" applyAlignment="1" pivotButton="0" quotePrefix="0" xfId="0">
      <alignment vertical="top" wrapText="1"/>
    </xf>
    <xf numFmtId="0" fontId="38" fillId="0" borderId="20" applyAlignment="1" pivotButton="0" quotePrefix="0" xfId="0">
      <alignment vertical="top" wrapText="1"/>
    </xf>
    <xf numFmtId="0" fontId="11" fillId="17" borderId="10" applyAlignment="1" pivotButton="0" quotePrefix="0" xfId="0">
      <alignment horizontal="left" vertical="top"/>
    </xf>
    <xf numFmtId="0" fontId="11" fillId="21" borderId="10" applyAlignment="1" pivotButton="0" quotePrefix="0" xfId="0">
      <alignment horizontal="left" vertical="top"/>
    </xf>
    <xf numFmtId="0" fontId="11" fillId="28" borderId="10" applyAlignment="1" pivotButton="0" quotePrefix="0" xfId="0">
      <alignment horizontal="left" vertical="top"/>
    </xf>
    <xf numFmtId="0" fontId="40" fillId="22" borderId="10" applyAlignment="1" pivotButton="0" quotePrefix="0" xfId="0">
      <alignment horizontal="left" vertical="top" wrapText="1"/>
    </xf>
    <xf numFmtId="0" fontId="40" fillId="6" borderId="10" applyAlignment="1" pivotButton="0" quotePrefix="0" xfId="0">
      <alignment horizontal="left" vertical="top" wrapText="1"/>
    </xf>
    <xf numFmtId="0" fontId="40" fillId="22" borderId="10" applyAlignment="1" pivotButton="0" quotePrefix="0" xfId="0">
      <alignment horizontal="left" vertical="top"/>
    </xf>
    <xf numFmtId="0" fontId="12" fillId="22" borderId="10" applyAlignment="1" pivotButton="0" quotePrefix="0" xfId="0">
      <alignment horizontal="left" vertical="top" wrapText="1"/>
    </xf>
    <xf numFmtId="0" fontId="40" fillId="6" borderId="10" applyAlignment="1" pivotButton="0" quotePrefix="0" xfId="0">
      <alignment vertical="top" wrapText="1"/>
    </xf>
    <xf numFmtId="0" fontId="11" fillId="34" borderId="10" applyAlignment="1" pivotButton="0" quotePrefix="0" xfId="0">
      <alignment horizontal="center" vertical="center"/>
    </xf>
    <xf numFmtId="4" fontId="2" fillId="6" borderId="10" applyAlignment="1" pivotButton="0" quotePrefix="0" xfId="0">
      <alignment horizontal="left" vertical="top"/>
    </xf>
    <xf numFmtId="0" fontId="2" fillId="2" borderId="10" pivotButton="0" quotePrefix="0" xfId="0"/>
    <xf numFmtId="0" fontId="0" fillId="0" borderId="37" pivotButton="0" quotePrefix="0" xfId="0"/>
    <xf numFmtId="0" fontId="1" fillId="38" borderId="37" applyAlignment="1" pivotButton="0" quotePrefix="0" xfId="0">
      <alignment vertical="center"/>
    </xf>
    <xf numFmtId="0" fontId="40" fillId="38" borderId="37" applyAlignment="1" pivotButton="0" quotePrefix="0" xfId="0">
      <alignment vertical="center"/>
    </xf>
    <xf numFmtId="0" fontId="40" fillId="2" borderId="1" pivotButton="0" quotePrefix="0" xfId="0"/>
  </cellXfs>
  <cellStyles count="1">
    <cellStyle name="Normal" xfId="0" builtinId="0"/>
  </cellStyles>
  <dxfs count="13">
    <dxf>
      <font>
        <color rgb="FF00FF00"/>
      </font>
      <fill>
        <patternFill patternType="solid">
          <fgColor rgb="FF00FF00"/>
          <bgColor rgb="FF00FF00"/>
        </patternFill>
      </fill>
      <border/>
    </dxf>
    <dxf>
      <font>
        <color rgb="FFFF0000"/>
      </font>
      <fill>
        <patternFill/>
      </fill>
      <border/>
    </dxf>
    <dxf>
      <font>
        <b val="1"/>
      </font>
      <fill>
        <patternFill patternType="solid">
          <fgColor rgb="FFFFFF69"/>
          <bgColor rgb="FFFFFF6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 val="1"/>
        <color rgb="FF000000"/>
      </font>
      <fill>
        <patternFill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/>
      </fill>
      <border/>
    </dxf>
    <dxf>
      <font>
        <color rgb="FF666666"/>
      </font>
      <fill>
        <patternFill patternType="solid">
          <fgColor rgb="FF666666"/>
          <bgColor rgb="FF666666"/>
        </patternFill>
      </fill>
      <border/>
    </dxf>
    <dxf>
      <font>
        <color rgb="FF38761D"/>
      </font>
      <fill>
        <patternFill/>
      </fill>
      <border/>
    </dxf>
    <dxf>
      <font>
        <color rgb="FFFFFFFF"/>
      </font>
      <fill>
        <patternFill/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 defaultTableStyle="TableStyleMedium9" defaultPivotStyle="PivotStyleLight16">
    <tableStyle name="Final Report-style" pivot="0" count="2">
      <tableStyleElement type="firstRowStripe" dxfId="12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None</author>
  </authors>
  <commentList>
    <comment ref="B21" authorId="0" shapeId="0">
      <text>
        <t>เช่น 693A000</t>
      </text>
    </comment>
    <comment ref="C21" authorId="0" shapeId="0">
      <text>
        <t>เช่น กิจกรรม333
รหัสรายการ/ชื่อรายการงบประมาณ
นำมาจากหน้า "งบโครงการ/งบงาน"</t>
      </text>
    </comment>
    <comment ref="D21" authorId="0" shapeId="0">
      <text>
        <t>อ่านคำอธิบาย กดเครื่องหมาย +</t>
      </text>
    </comment>
    <comment ref="E21" authorId="0" shapeId="0">
      <text>
        <t xml:space="preserve">"ผลการดำเนินงานตามสถานะ "
เช่น ไม่ได้ดำเนินงาน เนื่องจากไม่
สามารถติดต่อวิทยากรที่จะมาบรรยายได้ 
จึงต้องปรับแผนการดำเนินงานไป
เป็นไตรมาสที่ 2 ช่วงเดือนพฤษภาคม 2569
"อยู่ระหว่างดำเนินงาน" 
เช่น โดยได้ประชุมเตรียมการจัดงาน จัดทำบันทึกขออนุมัติเบิกจ่ายงบประมาณแล้ว ขณะนี้อยู่ระหว่างประชาสัมพันธ์โครงการและรอแบบตอบรับจากผู้สนใจเข้าร่วม					</t>
      </text>
    </comment>
    <comment ref="G53" authorId="0" shapeId="0">
      <text>
        <t xml:space="preserve">"เช่น ระบุได้
อธิบาย=เป็นตัวเลขผลการดำเนินงาน 
ณ สิ้นสุดไตรมาส 1 ผลอาจมีการเปลี่ยนแปลงเนื่องจากมีกำหนดจัดกิจกรรมครั้งที่ 2 ในเดือนเมษายน 2569"			</t>
      </text>
    </comment>
    <comment ref="H53" authorId="0" shapeId="0">
      <text>
        <t xml:space="preserve">เช่น ระบุไม่ได้ 
อธิบาย=เนื่องจากยังไม่สิ้นสุดโครงการ			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21" authorId="0" shapeId="0">
      <text>
        <t>เช่น 693A000</t>
      </text>
    </comment>
    <comment ref="C21" authorId="0" shapeId="0">
      <text>
        <t>เช่น กิจกรรม333
รหัสรายการ/ชื่อรายการงบประมาณ
นำมาจากหน้า "งบโครงการ/งบงาน"</t>
      </text>
    </comment>
    <comment ref="D21" authorId="0" shapeId="0">
      <text>
        <t>อ่านคำอธิบาย กดเครื่องหมาย +</t>
      </text>
    </comment>
    <comment ref="E21" authorId="0" shapeId="0">
      <text>
        <t xml:space="preserve">"ผลการดำเนินงานตามสถานะ "
เช่น ไม่ได้ดำเนินงาน เนื่องจากไม่
สามารถติดต่อวิทยากรที่จะมาบรรยายได้ 
จึงต้องปรับแผนการดำเนินงานไป
เป็นไตรมาสที่ 2 ช่วงเดือนพฤษภาคม 2569
"อยู่ระหว่างดำเนินงาน" 
เช่น โดยได้ประชุมเตรียมการจัดงาน จัดทำบันทึกขออนุมัติเบิกจ่ายงบประมาณแล้ว ขณะนี้อยู่ระหว่างประชาสัมพันธ์โครงการและรอแบบตอบรับจากผู้สนใจเข้าร่วม					</t>
      </text>
    </comment>
    <comment ref="G53" authorId="0" shapeId="0">
      <text>
        <t xml:space="preserve">"เช่น ระบุได้
อธิบาย=เป็นตัวเลขผลการดำเนินงาน 
ณ สิ้นสุดไตรมาส 1 ผลอาจมีการเปลี่ยนแปลงเนื่องจากมีกำหนดจัดกิจกรรมครั้งที่ 2 ในเดือนเมษายน 2569"			</t>
      </text>
    </comment>
    <comment ref="H53" authorId="0" shapeId="0">
      <text>
        <t xml:space="preserve">เช่น ระบุไม่ได้ 
อธิบาย=เนื่องจากยังไม่สิ้นสุดโครงการ			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21" authorId="0" shapeId="0">
      <text>
        <t>เช่น 693A000</t>
      </text>
    </comment>
    <comment ref="C21" authorId="0" shapeId="0">
      <text>
        <t>เช่น กิจกรรม333
รหัสรายการ/ชื่อรายการงบประมาณ
นำมาจากหน้า "งบโครงการ/งบงาน"</t>
      </text>
    </comment>
    <comment ref="D21" authorId="0" shapeId="0">
      <text>
        <t>อ่านคำอธิบาย กดเครื่องหมาย +</t>
      </text>
    </comment>
    <comment ref="E21" authorId="0" shapeId="0">
      <text>
        <t xml:space="preserve">"ผลการดำเนินงานตามสถานะ "
เช่น ไม่ได้ดำเนินงาน เนื่องจากไม่
สามารถติดต่อวิทยากรที่จะมาบรรยายได้ 
จึงต้องปรับแผนการดำเนินงานไป
เป็นไตรมาสที่ 2 ช่วงเดือนพฤษภาคม 2569
"อยู่ระหว่างดำเนินงาน" 
เช่น โดยได้ประชุมเตรียมการจัดงาน จัดทำบันทึกขออนุมัติเบิกจ่ายงบประมาณแล้ว ขณะนี้อยู่ระหว่างประชาสัมพันธ์โครงการและรอแบบตอบรับจากผู้สนใจเข้าร่วม					</t>
      </text>
    </comment>
    <comment ref="G53" authorId="0" shapeId="0">
      <text>
        <t xml:space="preserve">"เช่น ระบุได้
อธิบาย=เป็นตัวเลขผลการดำเนินงาน 
ณ สิ้นสุดไตรมาส 1 ผลอาจมีการเปลี่ยนแปลงเนื่องจากมีกำหนดจัดกิจกรรมครั้งที่ 2 ในเดือนเมษายน 2569"			</t>
      </text>
    </comment>
    <comment ref="H53" authorId="0" shapeId="0">
      <text>
        <t xml:space="preserve">เช่น ระบุไม่ได้ 
อธิบาย=เนื่องจากยังไม่สิ้นสุดโครงการ			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B21" authorId="0" shapeId="0">
      <text>
        <t>เช่น 693A000</t>
      </text>
    </comment>
    <comment ref="C21" authorId="0" shapeId="0">
      <text>
        <t>เช่น กิจกรรม333
รหัสรายการ/ชื่อรายการงบประมาณ
นำมาจากหน้า "งบโครงการ/งบงาน"</t>
      </text>
    </comment>
    <comment ref="D21" authorId="0" shapeId="0">
      <text>
        <t>อ่านคำอธิบาย กดเครื่องหมาย +</t>
      </text>
    </comment>
    <comment ref="E21" authorId="0" shapeId="0">
      <text>
        <t xml:space="preserve">"ผลการดำเนินงานตามสถานะ "
เช่น ไม่ได้ดำเนินงาน เนื่องจากไม่
สามารถติดต่อวิทยากรที่จะมาบรรยายได้ 
จึงต้องปรับแผนการดำเนินงานไป
เป็นไตรมาสที่ 2 ช่วงเดือนพฤษภาคม 2569
"อยู่ระหว่างดำเนินงาน" 
เช่น โดยได้ประชุมเตรียมการจัดงาน จัดทำบันทึกขออนุมัติเบิกจ่ายงบประมาณแล้ว ขณะนี้อยู่ระหว่างประชาสัมพันธ์โครงการและรอแบบตอบรับจากผู้สนใจเข้าร่วม					</t>
      </text>
    </comment>
    <comment ref="G53" authorId="0" shapeId="0">
      <text>
        <t xml:space="preserve">"เช่น ระบุได้
อธิบาย=เป็นตัวเลขผลการดำเนินงาน 
ณ สิ้นสุดไตรมาส 1 ผลอาจมีการเปลี่ยนแปลงเนื่องจากมีกำหนดจัดกิจกรรมครั้งที่ 2 ในเดือนเมษายน 2569"			</t>
      </text>
    </comment>
    <comment ref="H53" authorId="0" shapeId="0">
      <text>
        <t xml:space="preserve">เช่น ระบุไม่ได้ 
อธิบาย=เนื่องจากยังไม่สิ้นสุดโครงการ			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68" authorId="0" shapeId="0">
      <text>
        <t xml:space="preserve">*** อธิบายผลการดำเนินงานตามตัวชี้วัด ให้ระบุวัตถุประสงค์ของการวัด การประเมินผลตามตัวชี้วัด ในภาพรวม </t>
      </text>
    </comment>
    <comment ref="D73" authorId="0" shapeId="0">
      <text>
        <t>*** อธิบายผลการดำเนินงานเป็นอย่างไร  มีความสอดคล้องกับความเชื่อมโยงของโครงการที่ระบุ หรือไม่อย่างไร</t>
      </text>
    </comment>
    <comment ref="D82" authorId="0" shapeId="0">
      <text>
        <t>*** อธิบายว่าผลการดำเนินงานสอดคล้อง/ตอบ วัตถุประสงค์หรือไม่อย่างไร</t>
      </text>
    </comment>
    <comment ref="D93" authorId="0" shapeId="0">
      <text>
        <t>*** อธิบายว่าผลการดำเนินงานสอดคล้อง/เป็นไปตามผลที่คาดว่าจะได้รับหรือไม่อย่างไร</t>
      </text>
    </comment>
    <comment ref="D104" authorId="0" shapeId="0">
      <text>
        <t>*** ระบุปัญหา/อุปสรรค ในการดำเนินโครงการพร้อมระบุแนวทางแก้ไข 
(ตามความเห็นของหน่วยงาน)</t>
      </text>
    </comment>
    <comment ref="A115" authorId="0" shapeId="0">
      <text>
        <t>*** เขียนสรุปว่าการดำเนินงานสำเร็จตามวัตถุประสงค์โดยมีผลลัพธ์เป็นอย่างไร และส่งผลกระทบอย่างไรบ้าง</t>
      </text>
    </comment>
    <comment ref="A117" authorId="0" shapeId="0">
      <text>
        <t>insert &gt;Image &gt;Image Over Cell &gt;Browse &gt;เลือกรูปภาพในเครื่อง &gt;Open</t>
      </text>
    </comment>
  </commentList>
</comments>
</file>

<file path=xl/tables/table1.xml><?xml version="1.0" encoding="utf-8"?>
<table xmlns="http://schemas.openxmlformats.org/spreadsheetml/2006/main" id="1" name="Table_1" displayName="Table_1" ref="A10:L10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Final Repor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4Jn9D-koEdNVT4HEIXhbhDnFT-qr9oqi/view?usp=sharing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zkJlJZWZKHqV5lepPAt3H1921HyRTorB/view?usp=drive_link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file/d/1zkJlJZWZKHqV5lepPAt3H1921HyRTorB/view?usp=drive_link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file/d/1zkJlJZWZKHqV5lepPAt3H1921HyRTorB/view?usp=drive_link" TargetMode="Externa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file/d/1zkJlJZWZKHqV5lepPAt3H1921HyRTorB/view?usp=drive_link" TargetMode="Externa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file/d/1dOp4Vg4fMLxf-RTzBuOW5yqHUTQIPIwR/view?usp=drive_link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drive.google.com/file/d/1t6YNPU77bcc4TZ5mLbYGzMc8khBWmxUN/view?usp=drive_link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docs.google.com/spreadsheets/d/1nIDy5zYDg9hGtVlnD76CI-o5uK9-d30d46_ROAe5vCk" TargetMode="External" Id="rId1"/><Relationship Type="http://schemas.openxmlformats.org/officeDocument/2006/relationships/hyperlink" Target="https://docs.google.com/spreadsheets/d/1g0zhpY87_t0kJRtMWN7xBQyYfoOAT1zgquATLTlLBNo" TargetMode="External" Id="rId2"/></Relationships>
</file>

<file path=xl/worksheets/sheet1.xml><?xml version="1.0" encoding="utf-8"?>
<worksheet xmlns="http://schemas.openxmlformats.org/spreadsheetml/2006/main">
  <sheetPr>
    <tabColor rgb="FF00FFFF"/>
    <outlinePr summaryBelow="0" summaryRight="0"/>
    <pageSetUpPr/>
  </sheetPr>
  <dimension ref="A1:O108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1.38" customWidth="1" style="592" min="1" max="1"/>
    <col width="6.38" customWidth="1" style="592" min="2" max="2"/>
    <col width="42.88" customWidth="1" style="592" min="3" max="3"/>
    <col width="12.63" customWidth="1" style="592" min="4" max="10"/>
    <col width="6.38" customWidth="1" style="592" min="11" max="11"/>
    <col width="1.38" customWidth="1" style="592" min="12" max="12"/>
    <col width="14.5" customWidth="1" style="592" min="13" max="14"/>
    <col hidden="1" width="2.75" customWidth="1" style="592" min="15" max="15"/>
  </cols>
  <sheetData>
    <row r="1" ht="52.5" customHeight="1" s="592">
      <c r="A1" s="1" t="n"/>
      <c r="B1" s="2" t="n"/>
      <c r="L1" s="3" t="n"/>
      <c r="M1" s="4" t="inlineStr">
        <is>
          <t>สถานะ
การกรอกข้อมูล</t>
        </is>
      </c>
      <c r="N1" s="5">
        <f>SUM(O7,O8,O9,O10,O13,O14,O26,O28,N32,O32,O36,O39,O51,O62,O87)</f>
        <v/>
      </c>
      <c r="O1" s="6" t="n"/>
    </row>
    <row r="2">
      <c r="A2" s="1" t="n"/>
      <c r="B2" s="2" t="inlineStr">
        <is>
          <t>แบบคำของบประมาณโครงการปฏิบัติการ 
ประจำปีงบประมาณ พ.ศ. 2570</t>
        </is>
      </c>
      <c r="L2" s="7" t="n"/>
      <c r="N2" s="593" t="n"/>
      <c r="O2" s="6" t="n"/>
    </row>
    <row r="3" ht="7.5" customHeight="1" s="592">
      <c r="A3" s="51" t="n"/>
      <c r="B3" s="51" t="n"/>
      <c r="L3" s="7" t="n"/>
      <c r="M3" s="10" t="n"/>
      <c r="N3" s="11" t="n"/>
      <c r="O3" s="12" t="n"/>
    </row>
    <row r="4">
      <c r="A4" s="51" t="n"/>
      <c r="B4" s="13" t="inlineStr">
        <is>
          <t>หน่วยงาน</t>
        </is>
      </c>
      <c r="D4" s="14">
        <f>IFERROR(VLOOKUP(D9,ListCost_Center!A:B,2,0),"")</f>
        <v/>
      </c>
      <c r="E4" s="15" t="n"/>
      <c r="F4" s="15" t="n"/>
      <c r="G4" s="15" t="n"/>
      <c r="H4" s="16" t="n"/>
      <c r="I4" s="16" t="n"/>
      <c r="J4" s="16" t="n"/>
      <c r="K4" s="16" t="n"/>
      <c r="L4" s="7" t="n"/>
      <c r="M4" s="17" t="inlineStr">
        <is>
          <t>สีเขียว=กรอกข้อมูลครบถ้วน</t>
        </is>
      </c>
      <c r="N4" s="11" t="n"/>
      <c r="O4" s="12" t="n"/>
    </row>
    <row r="5" ht="22.5" customHeight="1" s="592">
      <c r="A5" s="20" t="n"/>
      <c r="B5" s="19" t="inlineStr">
        <is>
          <t>รายละเอียดข้อมูลโครงการ</t>
        </is>
      </c>
      <c r="C5" s="20" t="n"/>
      <c r="D5" s="21" t="n"/>
      <c r="E5" s="21" t="n"/>
      <c r="F5" s="21" t="n"/>
      <c r="G5" s="21" t="n"/>
      <c r="H5" s="21" t="n"/>
      <c r="I5" s="21" t="n"/>
      <c r="J5" s="21" t="n"/>
      <c r="K5" s="21" t="n"/>
      <c r="L5" s="7" t="n"/>
      <c r="M5" s="22" t="inlineStr">
        <is>
          <t>สีแดง=กรอกข้อมูลไม่ครบถ้วน</t>
        </is>
      </c>
      <c r="N5" s="11" t="n"/>
      <c r="O5" s="23" t="n"/>
    </row>
    <row r="6">
      <c r="A6" s="51" t="n"/>
      <c r="B6" s="71" t="n">
        <v>1</v>
      </c>
      <c r="C6" s="90" t="inlineStr">
        <is>
          <t>รหัสโครงการ</t>
        </is>
      </c>
      <c r="D6" s="27">
        <f>IFERROR(__xludf.DUMMYFUNCTION("VLOOKUP(D7,IMPORTRANGE(REF!$B$2,""FA!D:F""),3,0)"),"#N/A")</f>
        <v/>
      </c>
      <c r="F6" s="28" t="n"/>
      <c r="G6" s="97" t="n"/>
      <c r="H6" s="97" t="n"/>
      <c r="I6" s="97" t="n"/>
      <c r="J6" s="65" t="n"/>
      <c r="K6" s="65" t="n"/>
      <c r="L6" s="7" t="n"/>
      <c r="M6" s="31" t="inlineStr">
        <is>
          <t>คำอธิบายการกรอกแบบฟอร์ม-โครงการ</t>
        </is>
      </c>
      <c r="N6" s="32" t="n"/>
      <c r="O6" s="12" t="n"/>
    </row>
    <row r="7">
      <c r="A7" s="51" t="n"/>
      <c r="B7" s="71" t="n">
        <v>2</v>
      </c>
      <c r="C7" s="90" t="inlineStr">
        <is>
          <t>ชื่อโครงการ</t>
        </is>
      </c>
      <c r="D7" s="594" t="inlineStr">
        <is>
          <t>โครงการสร้างเครือข่ายระบบนิเวศนวัตกรรมและเทคโนโลยีดิจิทัล</t>
        </is>
      </c>
      <c r="E7" s="595" t="n"/>
      <c r="F7" s="595" t="n"/>
      <c r="G7" s="595" t="n"/>
      <c r="H7" s="595" t="n"/>
      <c r="I7" s="595" t="n"/>
      <c r="J7" s="596" t="n"/>
      <c r="K7" s="65" t="n"/>
      <c r="L7" s="7" t="n"/>
      <c r="M7" s="56" t="n"/>
      <c r="N7" s="37" t="n"/>
      <c r="O7" s="89">
        <f>IF(D7="",0,1)</f>
        <v/>
      </c>
    </row>
    <row r="8">
      <c r="A8" s="51" t="n"/>
      <c r="B8" s="71" t="n">
        <v>3</v>
      </c>
      <c r="C8" s="90" t="inlineStr">
        <is>
          <t>ชื่อโครงการ (ย่อ)</t>
        </is>
      </c>
      <c r="D8" s="597" t="inlineStr">
        <is>
          <t>เครือข่ายนวัตกรรม ADT</t>
        </is>
      </c>
      <c r="E8" s="595" t="n"/>
      <c r="F8" s="596" t="n"/>
      <c r="G8" s="41">
        <f>IFS(D8="","ระบุไม่เกิน 25 ตัวอักษร",LEN(D8)&lt;=25,LEN(D8)&amp;" ตัวอักษร")</f>
        <v/>
      </c>
      <c r="H8" s="65" t="n"/>
      <c r="I8" s="65" t="n"/>
      <c r="J8" s="65" t="n"/>
      <c r="K8" s="42">
        <f>LEN(D8)</f>
        <v/>
      </c>
      <c r="L8" s="7" t="n"/>
      <c r="M8" s="56" t="n"/>
      <c r="N8" s="37" t="n"/>
      <c r="O8" s="89">
        <f>IF(D8="",0,1)</f>
        <v/>
      </c>
    </row>
    <row r="9">
      <c r="A9" s="51" t="n"/>
      <c r="B9" s="71" t="n">
        <v>4</v>
      </c>
      <c r="C9" s="90" t="inlineStr">
        <is>
          <t>รหัสหน่วยงาน</t>
        </is>
      </c>
      <c r="D9" s="43" t="inlineStr">
        <is>
          <t>11130000</t>
        </is>
      </c>
      <c r="E9" s="50">
        <f>IFERROR(VLOOKUP(D9,ListCost_Center!A:B,2,0),"โปรดระบุ")</f>
        <v/>
      </c>
      <c r="F9" s="65" t="n"/>
      <c r="G9" s="65" t="n"/>
      <c r="H9" s="65" t="n"/>
      <c r="I9" s="65" t="n"/>
      <c r="J9" s="65" t="n"/>
      <c r="K9" s="65" t="n"/>
      <c r="L9" s="7" t="n"/>
      <c r="M9" s="56" t="n"/>
      <c r="N9" s="37" t="n"/>
      <c r="O9" s="89">
        <f>IF(D9="",0,1)</f>
        <v/>
      </c>
    </row>
    <row r="10">
      <c r="A10" s="51" t="n"/>
      <c r="B10" s="45" t="n">
        <v>5</v>
      </c>
      <c r="C10" s="46" t="inlineStr">
        <is>
          <t>ประเภทโครงการ</t>
        </is>
      </c>
      <c r="D10" s="598" t="inlineStr">
        <is>
          <t>พัฒนาสำนักวิชา</t>
        </is>
      </c>
      <c r="E10" s="596" t="n"/>
      <c r="F10" s="48">
        <f>IF(D10="อื่น ๆ","โปรดระบุประเภท","")</f>
        <v/>
      </c>
      <c r="G10" s="68" t="n"/>
      <c r="K10" s="65" t="n"/>
      <c r="L10" s="7" t="n"/>
      <c r="M10" s="56" t="n"/>
      <c r="N10" s="37" t="n"/>
      <c r="O10" s="89">
        <f>IF(D10="อื่น ๆ",IF(G10&lt;&gt;"",1,0),IF(D10="",0,1))</f>
        <v/>
      </c>
    </row>
    <row r="11">
      <c r="A11" s="51" t="n"/>
      <c r="B11" s="71" t="n"/>
      <c r="C11" s="90" t="n"/>
      <c r="D11" s="50" t="n"/>
      <c r="E11" s="50" t="n"/>
      <c r="F11" s="65" t="n"/>
      <c r="G11" s="65" t="n"/>
      <c r="H11" s="65" t="n"/>
      <c r="I11" s="65" t="n"/>
      <c r="J11" s="65" t="n"/>
      <c r="K11" s="65" t="n"/>
      <c r="L11" s="7" t="n"/>
      <c r="M11" s="56" t="n"/>
      <c r="N11" s="37" t="n"/>
      <c r="O11" s="89" t="n"/>
    </row>
    <row r="12">
      <c r="A12" s="51" t="n"/>
      <c r="B12" s="45" t="n">
        <v>6</v>
      </c>
      <c r="C12" s="46" t="inlineStr">
        <is>
          <t>ความเชื่อมโยงของโครงการกับ (ร่าง)แผนพัฒนามหาวิทยาลัยแม่ฟ้าหลวง ฉบับที่ 6 (พ.ศ. 2570-2574)</t>
        </is>
      </c>
      <c r="D12" s="72" t="n"/>
      <c r="E12" s="103" t="n"/>
      <c r="F12" s="103" t="n"/>
      <c r="G12" s="55" t="n"/>
      <c r="H12" s="55" t="n"/>
      <c r="I12" s="103" t="n"/>
      <c r="J12" s="103" t="n"/>
      <c r="K12" s="103" t="n"/>
      <c r="L12" s="7" t="n"/>
      <c r="M12" s="56" t="n"/>
      <c r="N12" s="37" t="n"/>
      <c r="O12" s="89" t="n"/>
    </row>
    <row r="13">
      <c r="A13" s="51" t="n"/>
      <c r="B13" s="57" t="n">
        <v>6.1</v>
      </c>
      <c r="C13" s="58" t="inlineStr">
        <is>
          <t>กลยุทธ์</t>
        </is>
      </c>
      <c r="D13" s="599" t="inlineStr">
        <is>
          <t>กลยุทธ์ 1.4 พัฒนาเครือข่ายความร่วมมือ</t>
        </is>
      </c>
      <c r="E13" s="595" t="n"/>
      <c r="F13" s="595" t="n"/>
      <c r="G13" s="595" t="n"/>
      <c r="H13" s="595" t="n"/>
      <c r="I13" s="596" t="n"/>
      <c r="J13" s="60">
        <f>IF(D13="","โปรดระบุ","")</f>
        <v/>
      </c>
      <c r="K13" s="65" t="n"/>
      <c r="L13" s="7" t="n"/>
      <c r="M13" s="56" t="n"/>
      <c r="N13" s="37" t="n"/>
      <c r="O13" s="89">
        <f>IF(D13="",0,1)</f>
        <v/>
      </c>
    </row>
    <row r="14">
      <c r="A14" s="51" t="n"/>
      <c r="B14" s="57" t="n">
        <v>6.2</v>
      </c>
      <c r="C14" s="58" t="inlineStr">
        <is>
          <t>ตัวชี้วัดกระบวนการ</t>
        </is>
      </c>
      <c r="D14" s="600" t="inlineStr">
        <is>
          <t>X1.11 การมีส่วนร่วมของเครือข่ายพันธมิตร (Partner Engagement)</t>
        </is>
      </c>
      <c r="E14" s="601" t="n"/>
      <c r="F14" s="601" t="n"/>
      <c r="G14" s="601" t="n"/>
      <c r="H14" s="601" t="n"/>
      <c r="I14" s="602" t="n"/>
      <c r="J14" s="60">
        <f>IF(D13="","",IF(D14="","โปรดระบุ",""))</f>
        <v/>
      </c>
      <c r="K14" s="65" t="n"/>
      <c r="L14" s="7" t="n"/>
      <c r="M14" s="56" t="n"/>
      <c r="N14" s="37" t="n"/>
      <c r="O14" s="89">
        <f>IF(D14="",0,1)</f>
        <v/>
      </c>
    </row>
    <row r="15">
      <c r="A15" s="51" t="n"/>
      <c r="B15" s="64" t="n"/>
      <c r="C15" s="58" t="inlineStr">
        <is>
          <t xml:space="preserve">ประเด็นยุทธศาสตร์ </t>
        </is>
      </c>
      <c r="D15" s="65">
        <f t="array" ref="D15">XLOOKUP(D14,dropdown_plan6!R:R,dropdown_plan6!J:J,"")</f>
        <v/>
      </c>
      <c r="E15" s="65" t="n"/>
      <c r="F15" s="65" t="n"/>
      <c r="G15" s="65" t="n"/>
      <c r="H15" s="65" t="n"/>
      <c r="I15" s="65" t="n"/>
      <c r="J15" s="66" t="n"/>
      <c r="K15" s="65" t="n"/>
      <c r="L15" s="7" t="n"/>
      <c r="M15" s="56" t="n"/>
      <c r="N15" s="37" t="n"/>
      <c r="O15" s="89" t="n"/>
    </row>
    <row r="16">
      <c r="A16" s="51" t="n"/>
      <c r="B16" s="64" t="n"/>
      <c r="C16" s="58" t="inlineStr">
        <is>
          <t>ยุทธศาสตร์</t>
        </is>
      </c>
      <c r="D16" s="65">
        <f t="array" ref="D16">XLOOKUP(D14,dropdown_plan6!R:R,dropdown_plan6!C:C,"")</f>
        <v/>
      </c>
      <c r="E16" s="65" t="n"/>
      <c r="F16" s="65" t="n"/>
      <c r="G16" s="65" t="n"/>
      <c r="H16" s="65" t="n"/>
      <c r="I16" s="65" t="n"/>
      <c r="J16" s="66" t="n"/>
      <c r="K16" s="65" t="n"/>
      <c r="L16" s="7" t="n"/>
      <c r="M16" s="56" t="n"/>
      <c r="N16" s="37" t="n"/>
      <c r="O16" s="89" t="n"/>
    </row>
    <row r="17">
      <c r="A17" s="51" t="n"/>
      <c r="B17" s="67" t="n"/>
      <c r="C17" s="58" t="n"/>
      <c r="D17" s="68" t="n"/>
      <c r="E17" s="68" t="n"/>
      <c r="F17" s="68" t="n"/>
      <c r="G17" s="68" t="n"/>
      <c r="H17" s="68" t="n"/>
      <c r="I17" s="65" t="n"/>
      <c r="J17" s="69" t="n"/>
      <c r="K17" s="103" t="n"/>
      <c r="L17" s="7" t="n"/>
      <c r="M17" s="56" t="n"/>
      <c r="N17" s="37" t="n"/>
      <c r="O17" s="89" t="n"/>
    </row>
    <row r="18">
      <c r="A18" s="51" t="n"/>
      <c r="B18" s="71" t="n">
        <v>7</v>
      </c>
      <c r="C18" s="90" t="inlineStr">
        <is>
          <t>ความเชื่อมโยงของโครงการกับหัวข้ออื่น ๆ  (เลือกได้มากกว่า 1 หัวข้อ)</t>
        </is>
      </c>
      <c r="D18" s="65" t="n"/>
      <c r="E18" s="72" t="n"/>
      <c r="F18" s="65" t="n"/>
      <c r="G18" s="65" t="n"/>
      <c r="H18" s="65" t="n"/>
      <c r="I18" s="65" t="n"/>
      <c r="J18" s="69" t="n"/>
      <c r="K18" s="65" t="n"/>
      <c r="L18" s="7" t="n"/>
      <c r="M18" s="56" t="n"/>
      <c r="N18" s="37" t="n"/>
      <c r="O18" s="89" t="n"/>
    </row>
    <row r="19">
      <c r="A19" s="51" t="n"/>
      <c r="B19" s="67" t="n">
        <v>7.1</v>
      </c>
      <c r="C19" s="73" t="inlineStr">
        <is>
          <t>ประเด็นความเสี่ยงของมหาวิทยาลัย</t>
        </is>
      </c>
      <c r="D19" s="597" t="inlineStr">
        <is>
          <t>ความสามารถในการพัฒนาบุคลากรให้สามารถปฏิบัติงานได้ตามความคาดหวัง ปรับตัวได้ทันต่อการเปลี่ยนแปลง และสามารถขับเคลื่อนมหาวิทยาลัยเข้าสู่การแข่งขันในอนาคต</t>
        </is>
      </c>
      <c r="E19" s="595" t="n"/>
      <c r="F19" s="595" t="n"/>
      <c r="G19" s="595" t="n"/>
      <c r="H19" s="595" t="n"/>
      <c r="I19" s="596" t="n"/>
      <c r="J19" s="74">
        <f>IFERROR(VLOOKUP(D19,#REF!,2,0),"")</f>
        <v/>
      </c>
      <c r="K19" s="65" t="n"/>
      <c r="L19" s="7" t="n"/>
      <c r="M19" s="56" t="n"/>
      <c r="N19" s="37" t="n"/>
      <c r="O19" s="89" t="n"/>
    </row>
    <row r="20">
      <c r="A20" s="51" t="n"/>
      <c r="B20" s="67" t="n">
        <v>7.2</v>
      </c>
      <c r="C20" s="73" t="inlineStr">
        <is>
          <t>ค่านิยมองค์กร [เลือกได้มากกว่า 1 ข้อ]</t>
        </is>
      </c>
      <c r="D20" s="597" t="inlineStr">
        <is>
          <t>Teamwork 'ด้วยกัน'</t>
        </is>
      </c>
      <c r="E20" s="595" t="n"/>
      <c r="F20" s="595" t="n"/>
      <c r="G20" s="595" t="n"/>
      <c r="H20" s="595" t="n"/>
      <c r="I20" s="596" t="n"/>
      <c r="J20" s="75" t="n"/>
      <c r="K20" s="65" t="n"/>
      <c r="L20" s="7" t="n"/>
      <c r="M20" s="56" t="n"/>
      <c r="N20" s="37" t="n"/>
      <c r="O20" s="89" t="n"/>
    </row>
    <row r="21">
      <c r="A21" s="51" t="n"/>
      <c r="B21" s="67" t="n">
        <v>7.3</v>
      </c>
      <c r="C21" s="73" t="inlineStr">
        <is>
          <t>เป้าหมายการพัฒนาที่ยั่งยืน (SDGs) [เลือกได้มากกว่า 1 ข้อ]</t>
        </is>
      </c>
      <c r="D21" s="603" t="inlineStr">
        <is>
          <t>SDG9 อุตสาหกรรม นวัตกรรม และโครงสร้างพื้นฐาน (Industry, Innovation and Infrastructure)</t>
        </is>
      </c>
      <c r="E21" s="595" t="n"/>
      <c r="F21" s="595" t="n"/>
      <c r="G21" s="595" t="n"/>
      <c r="H21" s="595" t="n"/>
      <c r="I21" s="596" t="n"/>
      <c r="J21" s="75" t="n"/>
      <c r="K21" s="65" t="n"/>
      <c r="L21" s="7" t="n"/>
      <c r="M21" s="56" t="n"/>
      <c r="N21" s="37" t="n"/>
      <c r="O21" s="89" t="n"/>
    </row>
    <row r="22">
      <c r="A22" s="51" t="n"/>
      <c r="B22" s="67" t="n">
        <v>7.4</v>
      </c>
      <c r="C22" s="73" t="inlineStr">
        <is>
          <t>แผนปฏิบัติการป้องกันการทุจริต</t>
        </is>
      </c>
      <c r="D22" s="597" t="n"/>
      <c r="E22" s="595" t="n"/>
      <c r="F22" s="595" t="n"/>
      <c r="G22" s="595" t="n"/>
      <c r="H22" s="595" t="n"/>
      <c r="I22" s="596" t="n"/>
      <c r="J22" s="74">
        <f>IFERROR(VLOOKUP(D22,'Listความเชื่อมโยง'!A:B,2,0),"")</f>
        <v/>
      </c>
      <c r="K22" s="65" t="n"/>
      <c r="L22" s="7" t="n"/>
      <c r="M22" s="56" t="n"/>
      <c r="N22" s="37" t="n"/>
      <c r="O22" s="89" t="n"/>
    </row>
    <row r="23">
      <c r="A23" s="51" t="n"/>
      <c r="B23" s="67" t="n">
        <v>7.5</v>
      </c>
      <c r="C23" s="58" t="inlineStr">
        <is>
          <t>แผนพัฒนาของหน่วยงาน (เช่น ตัวชี้วัดภายใต้แผนฯ)</t>
        </is>
      </c>
      <c r="D23" s="604" t="n"/>
      <c r="E23" s="605" t="n"/>
      <c r="F23" s="605" t="n"/>
      <c r="G23" s="606" t="n"/>
      <c r="H23" s="48">
        <f>IF(D23&lt;&gt;"","โปรดแนบรายละเอียด","")</f>
        <v/>
      </c>
      <c r="I23" s="80" t="n"/>
      <c r="J23" s="81">
        <f>IF(D23="","",IF(I23="","เช่น PDF หรือ ลิงก์เล่มแผนฯ",""))</f>
        <v/>
      </c>
      <c r="K23" s="103" t="n"/>
      <c r="L23" s="7" t="n"/>
      <c r="M23" s="56" t="n"/>
      <c r="N23" s="37" t="n"/>
      <c r="O23" s="89" t="n"/>
    </row>
    <row r="24">
      <c r="A24" s="51" t="n"/>
      <c r="B24" s="67" t="n">
        <v>7.6</v>
      </c>
      <c r="C24" s="58" t="inlineStr">
        <is>
          <t>แผนอื่น ๆ</t>
        </is>
      </c>
      <c r="D24" s="607" t="n"/>
      <c r="E24" s="608" t="n"/>
      <c r="F24" s="608" t="n"/>
      <c r="G24" s="609" t="n"/>
      <c r="H24" s="48">
        <f>IF(D24&lt;&gt;"","โปรดแนบรายละเอียด","")</f>
        <v/>
      </c>
      <c r="I24" s="80" t="n"/>
      <c r="J24" s="81">
        <f>IF(D24="","",IF(I24="","เช่น PDF หรือ ลิงก์เล่มแผนฯ",""))</f>
        <v/>
      </c>
      <c r="K24" s="103" t="n"/>
      <c r="L24" s="7" t="n"/>
      <c r="M24" s="56" t="n"/>
      <c r="N24" s="37" t="n"/>
      <c r="O24" s="89" t="n"/>
    </row>
    <row r="25" ht="21.75" customHeight="1" s="592">
      <c r="A25" s="51" t="n"/>
      <c r="B25" s="67" t="n"/>
      <c r="C25" s="58" t="n"/>
      <c r="D25" s="68" t="n"/>
      <c r="E25" s="68" t="n"/>
      <c r="F25" s="68" t="n"/>
      <c r="G25" s="68" t="n"/>
      <c r="H25" s="85">
        <f>IF(F26=TRUE,"โปรดระบุชื่อโครงการในปีงบประมาณ พ.ศ. 2569","")</f>
        <v/>
      </c>
      <c r="I25" s="68" t="n"/>
      <c r="J25" s="68" t="n"/>
      <c r="K25" s="103" t="n"/>
      <c r="L25" s="7" t="n"/>
      <c r="M25" s="56" t="n"/>
      <c r="N25" s="37" t="n"/>
      <c r="O25" s="89" t="n"/>
    </row>
    <row r="26">
      <c r="A26" s="51" t="n"/>
      <c r="B26" s="71" t="n">
        <v>8</v>
      </c>
      <c r="C26" s="46" t="inlineStr">
        <is>
          <t>สถานภาพโครงการ</t>
        </is>
      </c>
      <c r="D26" s="86" t="b">
        <v>1</v>
      </c>
      <c r="E26" s="87" t="inlineStr">
        <is>
          <t>โครงการใหม่</t>
        </is>
      </c>
      <c r="F26" s="86" t="b">
        <v>0</v>
      </c>
      <c r="G26" s="87" t="inlineStr">
        <is>
          <t>โครงการเดิม</t>
        </is>
      </c>
      <c r="H26" s="610" t="n"/>
      <c r="I26" s="595" t="n"/>
      <c r="J26" s="596" t="n"/>
      <c r="K26" s="103" t="n"/>
      <c r="L26" s="7" t="n"/>
      <c r="M26" s="56" t="n"/>
      <c r="N26" s="37" t="n"/>
      <c r="O26" s="89">
        <f>IF(F26=TRUE,IF(H26&lt;&gt;"",1,0),IF(D26=FALSE,0,1))</f>
        <v/>
      </c>
    </row>
    <row r="27">
      <c r="A27" s="51" t="n"/>
      <c r="B27" s="67" t="n"/>
      <c r="C27" s="58" t="n"/>
      <c r="D27" s="68" t="n"/>
      <c r="E27" s="68" t="n"/>
      <c r="F27" s="68" t="n"/>
      <c r="G27" s="68" t="n"/>
      <c r="H27" s="68" t="n"/>
      <c r="I27" s="65" t="n"/>
      <c r="J27" s="68" t="n"/>
      <c r="K27" s="103" t="n"/>
      <c r="L27" s="7" t="n"/>
      <c r="M27" s="56" t="n"/>
      <c r="N27" s="37" t="n"/>
      <c r="O27" s="89" t="n"/>
    </row>
    <row r="28">
      <c r="A28" s="51" t="n"/>
      <c r="B28" s="71" t="n">
        <v>9</v>
      </c>
      <c r="C28" s="90" t="inlineStr">
        <is>
          <t>ระยะเวลาดำเนินโครงการ</t>
        </is>
      </c>
      <c r="D28" s="91">
        <f>IFERROR(DAYS(D30,D29),"โปรดระบุ")</f>
        <v/>
      </c>
      <c r="E28" s="97" t="inlineStr">
        <is>
          <t>วัน</t>
        </is>
      </c>
      <c r="F28" s="91" t="n"/>
      <c r="G28" s="99" t="inlineStr">
        <is>
          <t>วัน</t>
        </is>
      </c>
      <c r="H28" s="99" t="inlineStr">
        <is>
          <t>เดือน</t>
        </is>
      </c>
      <c r="I28" s="99" t="inlineStr">
        <is>
          <t>ปี</t>
        </is>
      </c>
      <c r="J28" s="65" t="n"/>
      <c r="K28" s="65" t="n"/>
      <c r="L28" s="7" t="n"/>
      <c r="M28" s="56" t="n"/>
      <c r="N28" s="37" t="n"/>
      <c r="O28" s="89">
        <f>IF(D28="โปรดระบุ",0,1)</f>
        <v/>
      </c>
    </row>
    <row r="29">
      <c r="A29" s="51" t="n"/>
      <c r="B29" s="71" t="n"/>
      <c r="C29" s="90" t="n"/>
      <c r="D29" s="94">
        <f>G29&amp;"/"&amp;H29&amp;"/"&amp;I29</f>
        <v/>
      </c>
      <c r="E29" s="94">
        <f>G29&amp;"."&amp;H29&amp;"."&amp;I29</f>
        <v/>
      </c>
      <c r="F29" s="95" t="inlineStr">
        <is>
          <t>เริ่มต้นดำเนินการ</t>
        </is>
      </c>
      <c r="G29" s="43" t="inlineStr">
        <is>
          <t>01</t>
        </is>
      </c>
      <c r="H29" s="43" t="inlineStr">
        <is>
          <t>05</t>
        </is>
      </c>
      <c r="I29" s="43" t="inlineStr">
        <is>
          <t>2027</t>
        </is>
      </c>
      <c r="J29" s="65" t="n"/>
      <c r="K29" s="65" t="n"/>
      <c r="L29" s="7" t="n"/>
      <c r="M29" s="56" t="n"/>
      <c r="N29" s="37" t="n"/>
      <c r="O29" s="89" t="n"/>
    </row>
    <row r="30">
      <c r="A30" s="51" t="n"/>
      <c r="B30" s="71" t="n"/>
      <c r="C30" s="96" t="n"/>
      <c r="D30" s="94">
        <f>G30&amp;"/"&amp;H30&amp;"/"&amp;I30</f>
        <v/>
      </c>
      <c r="E30" s="94">
        <f>G30&amp;"."&amp;H30&amp;"."&amp;I30</f>
        <v/>
      </c>
      <c r="F30" s="95" t="inlineStr">
        <is>
          <t>สิ้นสุดดำเนินการ</t>
        </is>
      </c>
      <c r="G30" s="43" t="inlineStr">
        <is>
          <t>30</t>
        </is>
      </c>
      <c r="H30" s="43" t="inlineStr">
        <is>
          <t>06</t>
        </is>
      </c>
      <c r="I30" s="43" t="inlineStr">
        <is>
          <t>2027</t>
        </is>
      </c>
      <c r="J30" s="65" t="n"/>
      <c r="K30" s="65" t="n"/>
      <c r="L30" s="7" t="n"/>
      <c r="M30" s="56" t="n"/>
      <c r="N30" s="37" t="n"/>
      <c r="O30" s="89" t="n"/>
    </row>
    <row r="31">
      <c r="A31" s="51" t="n"/>
      <c r="B31" s="71" t="n"/>
      <c r="C31" s="90" t="n"/>
      <c r="D31" s="97" t="n"/>
      <c r="E31" s="97" t="n"/>
      <c r="F31" s="97" t="n"/>
      <c r="G31" s="97" t="n"/>
      <c r="H31" s="65" t="n"/>
      <c r="I31" s="97" t="n"/>
      <c r="J31" s="97" t="n"/>
      <c r="K31" s="65" t="n"/>
      <c r="L31" s="7" t="n"/>
      <c r="M31" s="56" t="n"/>
      <c r="N31" s="37" t="n"/>
      <c r="O31" s="89" t="n"/>
    </row>
    <row r="32">
      <c r="A32" s="51" t="n"/>
      <c r="B32" s="71" t="n">
        <v>10</v>
      </c>
      <c r="C32" s="90" t="inlineStr">
        <is>
          <t xml:space="preserve">หัวหน้าโครงการ </t>
        </is>
      </c>
      <c r="D32" s="611" t="inlineStr">
        <is>
          <t>ผศ.ดร.ณชา ชอนดอมรงค์กุล</t>
        </is>
      </c>
      <c r="E32" s="595" t="n"/>
      <c r="F32" s="596" t="n"/>
      <c r="G32" s="99" t="inlineStr">
        <is>
          <t>E-mail :</t>
        </is>
      </c>
      <c r="H32" s="611" t="inlineStr">
        <is>
          <t>nacha.cho@mfu.ac.th</t>
        </is>
      </c>
      <c r="I32" s="595" t="n"/>
      <c r="J32" s="596" t="n"/>
      <c r="K32" s="65" t="n"/>
      <c r="L32" s="7" t="n"/>
      <c r="M32" s="56" t="n"/>
      <c r="N32" s="100">
        <f>IF(D33="",1,0)</f>
        <v/>
      </c>
      <c r="O32" s="101">
        <f>IF(H33="",1,0)</f>
        <v/>
      </c>
    </row>
    <row r="33">
      <c r="A33" s="51" t="n"/>
      <c r="B33" s="71" t="n"/>
      <c r="C33" s="96" t="n"/>
      <c r="D33" s="102">
        <f>IF(D32="","โปรดระบุ","")</f>
        <v/>
      </c>
      <c r="E33" s="65" t="n"/>
      <c r="F33" s="65" t="n"/>
      <c r="G33" s="103" t="n"/>
      <c r="H33" s="104">
        <f>IFERROR(__xludf.DUMMYFUNCTION("IF(H32="""",""โปรดระบุ"",IF(REGEXMATCH(H32, ""@mfu.ac.th""),"""", ""**ข้อมูลไม่ถูกต้อง** กรุณาระบุเป็น @mfu.ac.th เท่านั้น""))"),"โปรดระบุ")</f>
        <v/>
      </c>
      <c r="I33" s="65" t="n"/>
      <c r="J33" s="105" t="n"/>
      <c r="K33" s="65" t="n"/>
      <c r="L33" s="7" t="n"/>
      <c r="M33" s="106" t="n"/>
      <c r="N33" s="107" t="n"/>
      <c r="O33" s="89" t="n"/>
    </row>
    <row r="34">
      <c r="A34" s="51" t="n"/>
      <c r="B34" s="71" t="n"/>
      <c r="C34" s="96" t="n"/>
      <c r="D34" s="108" t="n"/>
      <c r="E34" s="65" t="n"/>
      <c r="F34" s="65" t="n"/>
      <c r="G34" s="103" t="n"/>
      <c r="H34" s="109" t="n"/>
      <c r="I34" s="65" t="n"/>
      <c r="J34" s="105" t="n"/>
      <c r="K34" s="65" t="n"/>
      <c r="L34" s="7" t="n"/>
      <c r="M34" s="106" t="n"/>
      <c r="N34" s="107" t="n"/>
      <c r="O34" s="89" t="n"/>
    </row>
    <row r="35">
      <c r="A35" s="51" t="n"/>
      <c r="B35" s="110" t="n">
        <v>11</v>
      </c>
      <c r="C35" s="114" t="inlineStr">
        <is>
          <t>หลักการและเหตุผล
(ความสำคัญของโครงการ และความเชื่อมโยงของโครงการสำคัญประจําปี แผนพัฒนามหาวิทยาลัย ประเด็นความเสี่ยง ค่านิยมองค์กร SDGs การป้องกันการทุจริต แผนพัฒนาของหน่วยงาน หรือแผนอื่น ๆ ที่เกี่ยวข้อง)</t>
        </is>
      </c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7" t="n"/>
      <c r="M35" s="106" t="n"/>
      <c r="N35" s="107" t="n"/>
      <c r="O35" s="89" t="n"/>
    </row>
    <row r="36" ht="75" customHeight="1" s="592">
      <c r="A36" s="51" t="n"/>
      <c r="B36" s="110" t="n"/>
      <c r="C36" s="612" t="inlineStr">
        <is>
          <t>สำนักวิชาเทคโนโลยีดิจิทัลประยุกต์มีเป้าหมายในการเป็นสำนักวิชาชั้นนำด้านเทคโนโลยีดิจิทัลในภูมิภาคอนุภูมิภาคลุ่มน้ำโขง โดยมีแผนจัดตั้ง Intelligence Innovation Hub (IIC) ซึ่งเป็นศูนย์นวัตกรรมปัญญาประดิษฐ์และหุ่นยนต์ งบประมาณ 200 ล้านบาท เพื่อเตรียมความพร้อมสำหรับข้อเสนอโครงการ IIC จึงจำเป็นต้องสร้างเครือข่ายพันธมิตรกับหน่วยงานด้านนวัตกรรมและเทคโนโลยีชั้นนำ เช่น True Digital Park, NIA, depa, AIS The StartUp รวมถึงสถาบันอุดมศึกษาในกรุงเทพมหานคร เพื่อแลกเปลี่ยนองค์ความรู้ สร้างความร่วมมือด้านการวิจัย การพัฒนาหลักสูตร และการสร้าง Startup Ecosystem นอกจากนี้ยังเป็นโอกาสในการสร้างเครือข่ายศิษย์เก่าที่ทำงานในภาคอุตสาหกรรมดิจิทัล เพื่อนำข้อมูลและแนวโน้มของตลาดแรงงานมาพัฒนาหลักสูตรและกิจกรรมทางวิชาการให้ทันสมัย สอดคล้องกับกลยุทธ์ที่ 1.4 พัฒนาเครือข่ายความร่วมมือ และ SDG9 อุตสาหกรรม นวัตกรรม และโครงสร้างพื้นฐาน</t>
        </is>
      </c>
      <c r="D36" s="595" t="n"/>
      <c r="E36" s="595" t="n"/>
      <c r="F36" s="595" t="n"/>
      <c r="G36" s="595" t="n"/>
      <c r="H36" s="595" t="n"/>
      <c r="I36" s="595" t="n"/>
      <c r="J36" s="596" t="n"/>
      <c r="K36" s="112" t="n"/>
      <c r="L36" s="7" t="n"/>
      <c r="M36" s="106" t="n"/>
      <c r="N36" s="107" t="n"/>
      <c r="O36" s="89">
        <f>IF(C36="",0,1)</f>
        <v/>
      </c>
    </row>
    <row r="37">
      <c r="A37" s="51" t="n"/>
      <c r="B37" s="110" t="n"/>
      <c r="C37" s="114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7" t="n"/>
      <c r="M37" s="115" t="n"/>
      <c r="N37" s="37" t="n"/>
      <c r="O37" s="89" t="n"/>
    </row>
    <row r="38">
      <c r="A38" s="51" t="n"/>
      <c r="B38" s="110" t="n">
        <v>12</v>
      </c>
      <c r="C38" s="114" t="inlineStr">
        <is>
          <t xml:space="preserve">วัตถุประสงค์ของโครงการ </t>
        </is>
      </c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7" t="n"/>
      <c r="M38" s="115" t="n"/>
      <c r="N38" s="37" t="n"/>
      <c r="O38" s="89" t="n"/>
    </row>
    <row r="39">
      <c r="A39" s="51" t="n"/>
      <c r="B39" s="116" t="n"/>
      <c r="C39" s="612" t="inlineStr">
        <is>
          <t>เพื่อสร้างเครือข่ายความร่วมมือกับหน่วยงานด้านนวัตกรรมและเทคโนโลยีดิจิทัลชั้นนำในกรุงเทพมหานคร</t>
        </is>
      </c>
      <c r="D39" s="595" t="n"/>
      <c r="E39" s="595" t="n"/>
      <c r="F39" s="595" t="n"/>
      <c r="G39" s="595" t="n"/>
      <c r="H39" s="595" t="n"/>
      <c r="I39" s="595" t="n"/>
      <c r="J39" s="596" t="n"/>
      <c r="K39" s="112" t="n"/>
      <c r="L39" s="7" t="n"/>
      <c r="M39" s="115" t="n"/>
      <c r="N39" s="37" t="n"/>
      <c r="O39" s="89">
        <f>IF(C39="",0,1)</f>
        <v/>
      </c>
    </row>
    <row r="40">
      <c r="A40" s="51" t="n"/>
      <c r="B40" s="116" t="n"/>
      <c r="C40" s="612" t="inlineStr">
        <is>
          <t>เพื่อศึกษาแนวทางการจัดตั้งและบริหาร Innovation Hub, Incubator และ Startup Ecosystem สำหรับนำมาประยุกต์ใช้กับ IIC</t>
        </is>
      </c>
      <c r="D40" s="595" t="n"/>
      <c r="E40" s="595" t="n"/>
      <c r="F40" s="595" t="n"/>
      <c r="G40" s="595" t="n"/>
      <c r="H40" s="595" t="n"/>
      <c r="I40" s="595" t="n"/>
      <c r="J40" s="596" t="n"/>
      <c r="K40" s="112" t="n"/>
      <c r="L40" s="7" t="n"/>
      <c r="M40" s="115" t="n"/>
      <c r="N40" s="37" t="n"/>
      <c r="O40" s="89" t="n"/>
    </row>
    <row r="41">
      <c r="A41" s="51" t="n"/>
      <c r="B41" s="116" t="n"/>
      <c r="C41" s="612" t="inlineStr">
        <is>
          <t>เพื่อสร้างเครือข่ายศิษย์เก่าและภาคอุตสาหกรรมดิจิทัลสำหรับการพัฒนาหลักสูตรและความร่วมมือด้านการวิจัย</t>
        </is>
      </c>
      <c r="D41" s="595" t="n"/>
      <c r="E41" s="595" t="n"/>
      <c r="F41" s="595" t="n"/>
      <c r="G41" s="595" t="n"/>
      <c r="H41" s="595" t="n"/>
      <c r="I41" s="595" t="n"/>
      <c r="J41" s="596" t="n"/>
      <c r="K41" s="112" t="n"/>
      <c r="L41" s="7" t="n"/>
      <c r="M41" s="115" t="n"/>
      <c r="N41" s="37" t="n"/>
      <c r="O41" s="89" t="n"/>
    </row>
    <row r="42">
      <c r="A42" s="51" t="n"/>
      <c r="B42" s="116" t="n"/>
      <c r="C42" s="612" t="inlineStr">
        <is>
          <t>เพื่อเก็บข้อมูลแนวโน้มของตลาดแรงงานและทักษะที่จำเป็นในอนาคตจากภาคอุตสาหกรรม</t>
        </is>
      </c>
      <c r="D42" s="595" t="n"/>
      <c r="E42" s="595" t="n"/>
      <c r="F42" s="595" t="n"/>
      <c r="G42" s="595" t="n"/>
      <c r="H42" s="595" t="n"/>
      <c r="I42" s="595" t="n"/>
      <c r="J42" s="596" t="n"/>
      <c r="K42" s="112" t="n"/>
      <c r="L42" s="7" t="n"/>
      <c r="M42" s="115" t="n"/>
      <c r="N42" s="37" t="n"/>
      <c r="O42" s="89" t="n"/>
    </row>
    <row r="43" collapsed="1" s="592">
      <c r="A43" s="51" t="n"/>
      <c r="B43" s="116" t="n"/>
      <c r="C43" s="612" t="inlineStr">
        <is>
          <t>เพื่อสร้างโอกาสในการลงนามบันทึกข้อตกลงความร่วมมือ (MoU) กับหน่วยงานพันธมิตร</t>
        </is>
      </c>
      <c r="D43" s="595" t="n"/>
      <c r="E43" s="595" t="n"/>
      <c r="F43" s="595" t="n"/>
      <c r="G43" s="595" t="n"/>
      <c r="H43" s="595" t="n"/>
      <c r="I43" s="595" t="n"/>
      <c r="J43" s="596" t="n"/>
      <c r="K43" s="112" t="n"/>
      <c r="L43" s="7" t="n"/>
      <c r="M43" s="115" t="n"/>
      <c r="N43" s="37" t="n"/>
      <c r="O43" s="89" t="n"/>
    </row>
    <row r="44" hidden="1" outlineLevel="1" s="592">
      <c r="A44" s="51" t="n"/>
      <c r="B44" s="116" t="n"/>
      <c r="C44" s="612" t="n"/>
      <c r="D44" s="595" t="n"/>
      <c r="E44" s="595" t="n"/>
      <c r="F44" s="595" t="n"/>
      <c r="G44" s="595" t="n"/>
      <c r="H44" s="595" t="n"/>
      <c r="I44" s="595" t="n"/>
      <c r="J44" s="596" t="n"/>
      <c r="K44" s="112" t="n"/>
      <c r="L44" s="7" t="n"/>
      <c r="M44" s="115" t="n"/>
      <c r="N44" s="37" t="n"/>
      <c r="O44" s="89" t="n"/>
    </row>
    <row r="45" hidden="1" outlineLevel="1" s="592">
      <c r="A45" s="51" t="n"/>
      <c r="B45" s="116" t="n"/>
      <c r="C45" s="612" t="n"/>
      <c r="D45" s="595" t="n"/>
      <c r="E45" s="595" t="n"/>
      <c r="F45" s="595" t="n"/>
      <c r="G45" s="595" t="n"/>
      <c r="H45" s="595" t="n"/>
      <c r="I45" s="595" t="n"/>
      <c r="J45" s="596" t="n"/>
      <c r="K45" s="112" t="n"/>
      <c r="L45" s="7" t="n"/>
      <c r="M45" s="115" t="n"/>
      <c r="N45" s="37" t="n"/>
      <c r="O45" s="89" t="n"/>
    </row>
    <row r="46" hidden="1" outlineLevel="1" s="592">
      <c r="A46" s="51" t="n"/>
      <c r="B46" s="116" t="n"/>
      <c r="C46" s="612" t="n"/>
      <c r="D46" s="595" t="n"/>
      <c r="E46" s="595" t="n"/>
      <c r="F46" s="595" t="n"/>
      <c r="G46" s="595" t="n"/>
      <c r="H46" s="595" t="n"/>
      <c r="I46" s="595" t="n"/>
      <c r="J46" s="596" t="n"/>
      <c r="K46" s="112" t="n"/>
      <c r="L46" s="7" t="n"/>
      <c r="M46" s="115" t="n"/>
      <c r="N46" s="37" t="n"/>
      <c r="O46" s="89" t="n"/>
    </row>
    <row r="47" hidden="1" outlineLevel="1" s="592">
      <c r="A47" s="51" t="n"/>
      <c r="B47" s="116" t="n"/>
      <c r="C47" s="612" t="n"/>
      <c r="D47" s="595" t="n"/>
      <c r="E47" s="595" t="n"/>
      <c r="F47" s="595" t="n"/>
      <c r="G47" s="595" t="n"/>
      <c r="H47" s="595" t="n"/>
      <c r="I47" s="595" t="n"/>
      <c r="J47" s="596" t="n"/>
      <c r="K47" s="112" t="n"/>
      <c r="L47" s="7" t="n"/>
      <c r="M47" s="115" t="n"/>
      <c r="N47" s="37" t="n"/>
      <c r="O47" s="89" t="n"/>
    </row>
    <row r="48" hidden="1" outlineLevel="1" s="592">
      <c r="A48" s="51" t="n"/>
      <c r="B48" s="116" t="n"/>
      <c r="C48" s="612" t="n"/>
      <c r="D48" s="595" t="n"/>
      <c r="E48" s="595" t="n"/>
      <c r="F48" s="595" t="n"/>
      <c r="G48" s="595" t="n"/>
      <c r="H48" s="595" t="n"/>
      <c r="I48" s="595" t="n"/>
      <c r="J48" s="596" t="n"/>
      <c r="K48" s="112" t="n"/>
      <c r="L48" s="7" t="n"/>
      <c r="M48" s="115" t="n"/>
      <c r="N48" s="37" t="n"/>
      <c r="O48" s="89" t="n"/>
    </row>
    <row r="49">
      <c r="A49" s="51" t="n"/>
      <c r="B49" s="110" t="n"/>
      <c r="C49" s="114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7" t="n"/>
      <c r="M49" s="115" t="n"/>
      <c r="N49" s="37" t="n"/>
      <c r="O49" s="89" t="n"/>
    </row>
    <row r="50">
      <c r="A50" s="51" t="n"/>
      <c r="B50" s="110" t="n">
        <v>13</v>
      </c>
      <c r="C50" s="114" t="inlineStr">
        <is>
          <t>กลุ่มเป้าหมาย</t>
        </is>
      </c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7" t="n"/>
      <c r="M50" s="115" t="n"/>
      <c r="N50" s="37" t="n"/>
      <c r="O50" s="89" t="n"/>
    </row>
    <row r="51">
      <c r="A51" s="51" t="n"/>
      <c r="B51" s="116" t="n"/>
      <c r="C51" s="612" t="inlineStr">
        <is>
          <t>อาจารย์ประจำหลักสูตรสำนักวิชาเทคโนโลยีดิจิทัลประยุกต์ จำนวน 24 คน</t>
        </is>
      </c>
      <c r="D51" s="595" t="n"/>
      <c r="E51" s="595" t="n"/>
      <c r="F51" s="595" t="n"/>
      <c r="G51" s="595" t="n"/>
      <c r="H51" s="595" t="n"/>
      <c r="I51" s="595" t="n"/>
      <c r="J51" s="596" t="n"/>
      <c r="K51" s="112" t="n"/>
      <c r="L51" s="7" t="n"/>
      <c r="M51" s="115" t="n"/>
      <c r="N51" s="37" t="n"/>
      <c r="O51" s="89">
        <f>IF(C51="",0,1)</f>
        <v/>
      </c>
    </row>
    <row r="52">
      <c r="A52" s="51" t="n"/>
      <c r="B52" s="116" t="n"/>
      <c r="C52" s="612" t="inlineStr">
        <is>
          <t>ผู้บริหารสำนักวิชา จำนวน 2 คน</t>
        </is>
      </c>
      <c r="D52" s="595" t="n"/>
      <c r="E52" s="595" t="n"/>
      <c r="F52" s="595" t="n"/>
      <c r="G52" s="595" t="n"/>
      <c r="H52" s="595" t="n"/>
      <c r="I52" s="595" t="n"/>
      <c r="J52" s="596" t="n"/>
      <c r="K52" s="112" t="n"/>
      <c r="L52" s="7" t="n"/>
      <c r="M52" s="115" t="n"/>
      <c r="N52" s="37" t="n"/>
      <c r="O52" s="89" t="n"/>
    </row>
    <row r="53">
      <c r="A53" s="51" t="n"/>
      <c r="B53" s="116" t="n"/>
      <c r="C53" s="612" t="inlineStr">
        <is>
          <t>พนักงานผู้ประสานงาน จำนวน 2 คน</t>
        </is>
      </c>
      <c r="D53" s="595" t="n"/>
      <c r="E53" s="595" t="n"/>
      <c r="F53" s="595" t="n"/>
      <c r="G53" s="595" t="n"/>
      <c r="H53" s="595" t="n"/>
      <c r="I53" s="595" t="n"/>
      <c r="J53" s="596" t="n"/>
      <c r="K53" s="112" t="n"/>
      <c r="L53" s="7" t="n"/>
      <c r="M53" s="115" t="n"/>
      <c r="N53" s="37" t="n"/>
      <c r="O53" s="89" t="n"/>
    </row>
    <row r="54">
      <c r="A54" s="51" t="n"/>
      <c r="B54" s="116" t="n"/>
      <c r="C54" s="612" t="inlineStr">
        <is>
          <t>ศิษย์เก่าและผู้แทนภาคอุตสาหกรรมดิจิทัล จำนวน 50 คน</t>
        </is>
      </c>
      <c r="D54" s="595" t="n"/>
      <c r="E54" s="595" t="n"/>
      <c r="F54" s="595" t="n"/>
      <c r="G54" s="595" t="n"/>
      <c r="H54" s="595" t="n"/>
      <c r="I54" s="595" t="n"/>
      <c r="J54" s="596" t="n"/>
      <c r="K54" s="112" t="n"/>
      <c r="L54" s="7" t="n"/>
      <c r="M54" s="115" t="n"/>
      <c r="N54" s="37" t="n"/>
      <c r="O54" s="89" t="n"/>
    </row>
    <row r="55" collapsed="1" s="592">
      <c r="A55" s="51" t="n"/>
      <c r="B55" s="116" t="n"/>
      <c r="C55" s="612" t="n"/>
      <c r="D55" s="595" t="n"/>
      <c r="E55" s="595" t="n"/>
      <c r="F55" s="595" t="n"/>
      <c r="G55" s="595" t="n"/>
      <c r="H55" s="595" t="n"/>
      <c r="I55" s="595" t="n"/>
      <c r="J55" s="596" t="n"/>
      <c r="K55" s="112" t="n"/>
      <c r="L55" s="7" t="n"/>
      <c r="M55" s="115" t="n"/>
      <c r="N55" s="37" t="n"/>
      <c r="O55" s="89" t="n"/>
    </row>
    <row r="56" hidden="1" outlineLevel="1" s="592">
      <c r="A56" s="51" t="n"/>
      <c r="B56" s="116" t="n"/>
      <c r="C56" s="612" t="n"/>
      <c r="D56" s="595" t="n"/>
      <c r="E56" s="595" t="n"/>
      <c r="F56" s="595" t="n"/>
      <c r="G56" s="595" t="n"/>
      <c r="H56" s="595" t="n"/>
      <c r="I56" s="595" t="n"/>
      <c r="J56" s="596" t="n"/>
      <c r="K56" s="112" t="n"/>
      <c r="L56" s="7" t="n"/>
      <c r="M56" s="115" t="n"/>
      <c r="N56" s="37" t="n"/>
      <c r="O56" s="89" t="n"/>
    </row>
    <row r="57" hidden="1" outlineLevel="1" s="592">
      <c r="A57" s="51" t="n"/>
      <c r="B57" s="116" t="n"/>
      <c r="C57" s="612" t="n"/>
      <c r="D57" s="595" t="n"/>
      <c r="E57" s="595" t="n"/>
      <c r="F57" s="595" t="n"/>
      <c r="G57" s="595" t="n"/>
      <c r="H57" s="595" t="n"/>
      <c r="I57" s="595" t="n"/>
      <c r="J57" s="596" t="n"/>
      <c r="K57" s="112" t="n"/>
      <c r="L57" s="7" t="n"/>
      <c r="M57" s="115" t="n"/>
      <c r="N57" s="37" t="n"/>
      <c r="O57" s="89" t="n"/>
    </row>
    <row r="58" hidden="1" outlineLevel="1" s="592">
      <c r="A58" s="51" t="n"/>
      <c r="B58" s="116" t="n"/>
      <c r="C58" s="612" t="n"/>
      <c r="D58" s="595" t="n"/>
      <c r="E58" s="595" t="n"/>
      <c r="F58" s="595" t="n"/>
      <c r="G58" s="595" t="n"/>
      <c r="H58" s="595" t="n"/>
      <c r="I58" s="595" t="n"/>
      <c r="J58" s="596" t="n"/>
      <c r="K58" s="112" t="n"/>
      <c r="L58" s="7" t="n"/>
      <c r="M58" s="115" t="n"/>
      <c r="N58" s="37" t="n"/>
      <c r="O58" s="89">
        <f>IF(C58="",0,1)</f>
        <v/>
      </c>
    </row>
    <row r="59" hidden="1" outlineLevel="1" s="592">
      <c r="A59" s="51" t="n"/>
      <c r="B59" s="116" t="n"/>
      <c r="C59" s="612" t="n"/>
      <c r="D59" s="595" t="n"/>
      <c r="E59" s="595" t="n"/>
      <c r="F59" s="595" t="n"/>
      <c r="G59" s="595" t="n"/>
      <c r="H59" s="595" t="n"/>
      <c r="I59" s="595" t="n"/>
      <c r="J59" s="596" t="n"/>
      <c r="K59" s="112" t="n"/>
      <c r="L59" s="7" t="n"/>
      <c r="M59" s="115" t="n"/>
      <c r="N59" s="37" t="n"/>
      <c r="O59" s="89" t="n"/>
    </row>
    <row r="60" hidden="1" outlineLevel="1" s="592">
      <c r="A60" s="51" t="n"/>
      <c r="B60" s="116" t="n"/>
      <c r="C60" s="612" t="n"/>
      <c r="D60" s="595" t="n"/>
      <c r="E60" s="595" t="n"/>
      <c r="F60" s="595" t="n"/>
      <c r="G60" s="595" t="n"/>
      <c r="H60" s="595" t="n"/>
      <c r="I60" s="595" t="n"/>
      <c r="J60" s="596" t="n"/>
      <c r="K60" s="112" t="n"/>
      <c r="L60" s="7" t="n"/>
      <c r="M60" s="115" t="n"/>
      <c r="N60" s="37" t="n"/>
      <c r="O60" s="89" t="n"/>
    </row>
    <row r="61">
      <c r="A61" s="51" t="n"/>
      <c r="B61" s="110" t="n"/>
      <c r="C61" s="114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7" t="n"/>
      <c r="M61" s="115" t="n"/>
      <c r="N61" s="37" t="n"/>
      <c r="O61" s="89" t="n"/>
    </row>
    <row r="62">
      <c r="A62" s="51" t="n"/>
      <c r="B62" s="110" t="n">
        <v>14</v>
      </c>
      <c r="C62" s="114" t="inlineStr">
        <is>
          <t>ตัวชี้วัดของโครงการ</t>
        </is>
      </c>
      <c r="D62" s="112" t="n"/>
      <c r="E62" s="112" t="n"/>
      <c r="F62" s="112" t="n"/>
      <c r="G62" s="112" t="n"/>
      <c r="H62" s="117" t="n"/>
      <c r="I62" s="118" t="n"/>
      <c r="J62" s="119">
        <f>IF(COUNTBLANK($M$65:$N$74,$M$76:$N$85)&lt;40,"**โปรดระบุหน่วยนับ และแผนปี 2570 ให้ครบถ้วน","")</f>
        <v/>
      </c>
      <c r="K62" s="112" t="n"/>
      <c r="L62" s="7" t="n"/>
      <c r="M62" s="115" t="n"/>
      <c r="N62" s="37" t="n"/>
      <c r="O62" s="89">
        <f>IF(COUNTA(C65:J74,C76:J85)=0,0,IF(J62&lt;&gt;"",0,1))</f>
        <v/>
      </c>
    </row>
    <row r="63">
      <c r="A63" s="51" t="n"/>
      <c r="B63" s="110" t="n"/>
      <c r="C63" s="121" t="inlineStr">
        <is>
          <t>ตัวชี้วัดผลผลิตของโครงการ (Output)</t>
        </is>
      </c>
      <c r="D63" s="595" t="n"/>
      <c r="E63" s="595" t="n"/>
      <c r="F63" s="595" t="n"/>
      <c r="G63" s="595" t="n"/>
      <c r="H63" s="596" t="n"/>
      <c r="I63" s="121" t="inlineStr">
        <is>
          <t>หน่วยนับ</t>
        </is>
      </c>
      <c r="J63" s="121" t="inlineStr">
        <is>
          <t>แผน
ปี 2570</t>
        </is>
      </c>
      <c r="K63" s="112" t="n"/>
      <c r="L63" s="7" t="n"/>
      <c r="M63" s="115" t="n"/>
      <c r="N63" s="37" t="n"/>
      <c r="O63" s="89" t="n"/>
    </row>
    <row r="64">
      <c r="A64" s="51" t="n"/>
      <c r="B64" s="110" t="n"/>
      <c r="C64" s="122" t="n"/>
      <c r="D64" s="595" t="n"/>
      <c r="E64" s="595" t="n"/>
      <c r="F64" s="595" t="n"/>
      <c r="G64" s="595" t="n"/>
      <c r="H64" s="595" t="n"/>
      <c r="I64" s="123" t="n"/>
      <c r="J64" s="123" t="n"/>
      <c r="K64" s="112" t="n"/>
      <c r="L64" s="7" t="n"/>
      <c r="M64" s="115" t="n"/>
      <c r="N64" s="37" t="n"/>
      <c r="O64" s="89" t="n"/>
    </row>
    <row r="65">
      <c r="A65" s="51" t="n"/>
      <c r="B65" s="110" t="n"/>
      <c r="C65" s="613" t="inlineStr">
        <is>
          <t>จำนวนหน่วยงานด้านนวัตกรรมที่เยี่ยมชมและสร้างเครือข่าย</t>
        </is>
      </c>
      <c r="D65" s="595" t="n"/>
      <c r="E65" s="595" t="n"/>
      <c r="F65" s="595" t="n"/>
      <c r="G65" s="595" t="n"/>
      <c r="H65" s="596" t="n"/>
      <c r="I65" s="125" t="inlineStr">
        <is>
          <t>แห่ง</t>
        </is>
      </c>
      <c r="J65" s="125" t="n">
        <v>5</v>
      </c>
      <c r="K65" s="112" t="n"/>
      <c r="L65" s="7" t="n"/>
      <c r="M65" s="126">
        <f>IF(LEN(C65)&lt;5,"",IF(I65="","โปรดระบุหน่วยนับ",""))</f>
        <v/>
      </c>
      <c r="N65" s="127">
        <f>IF(LEN(C65)&lt;5,"",IF(J65="","โปรดระบุแผน",""))</f>
        <v/>
      </c>
      <c r="O65" s="128" t="n"/>
    </row>
    <row r="66">
      <c r="A66" s="51" t="n"/>
      <c r="B66" s="110" t="n"/>
      <c r="C66" s="613" t="inlineStr">
        <is>
          <t>จำนวนหน่วยงานภาคอุตสาหกรรมและศิษย์เก่าที่เข้าร่วมสร้างเครือข่าย</t>
        </is>
      </c>
      <c r="D66" s="595" t="n"/>
      <c r="E66" s="595" t="n"/>
      <c r="F66" s="595" t="n"/>
      <c r="G66" s="595" t="n"/>
      <c r="H66" s="596" t="n"/>
      <c r="I66" s="125" t="inlineStr">
        <is>
          <t>แห่ง</t>
        </is>
      </c>
      <c r="J66" s="125" t="n">
        <v>5</v>
      </c>
      <c r="K66" s="112" t="n"/>
      <c r="L66" s="7" t="n"/>
      <c r="M66" s="126">
        <f>IF(LEN(C66)&lt;5,"",IF(I66="","โปรดระบุหน่วยนับ",""))</f>
        <v/>
      </c>
      <c r="N66" s="127">
        <f>IF(LEN(C66)&lt;5,"",IF(J66="","โปรดระบุแผน",""))</f>
        <v/>
      </c>
      <c r="O66" s="128" t="n"/>
    </row>
    <row r="67">
      <c r="A67" s="51" t="n"/>
      <c r="B67" s="110" t="n"/>
      <c r="C67" s="613" t="inlineStr">
        <is>
          <t>จำนวนบันทึกข้อตกลงความร่วมมือ (MoU/LOI) ที่ได้รับการลงนามหรืออยู่ระหว่างดำเนินการ</t>
        </is>
      </c>
      <c r="D67" s="595" t="n"/>
      <c r="E67" s="595" t="n"/>
      <c r="F67" s="595" t="n"/>
      <c r="G67" s="595" t="n"/>
      <c r="H67" s="596" t="n"/>
      <c r="I67" s="125" t="inlineStr">
        <is>
          <t>ฉบับ</t>
        </is>
      </c>
      <c r="J67" s="125" t="n">
        <v>3</v>
      </c>
      <c r="K67" s="112" t="n"/>
      <c r="L67" s="7" t="n"/>
      <c r="M67" s="126">
        <f>IF(LEN(C67)&lt;5,"",IF(I67="","โปรดระบุหน่วยนับ",""))</f>
        <v/>
      </c>
      <c r="N67" s="127">
        <f>IF(LEN(C67)&lt;5,"",IF(J67="","โปรดระบุแผน",""))</f>
        <v/>
      </c>
      <c r="O67" s="128" t="n"/>
    </row>
    <row r="68">
      <c r="A68" s="51" t="n"/>
      <c r="B68" s="110" t="n"/>
      <c r="C68" s="613" t="inlineStr">
        <is>
          <t>จำนวนอาจารย์ที่เข้าร่วมโครงการ</t>
        </is>
      </c>
      <c r="D68" s="595" t="n"/>
      <c r="E68" s="595" t="n"/>
      <c r="F68" s="595" t="n"/>
      <c r="G68" s="595" t="n"/>
      <c r="H68" s="596" t="n"/>
      <c r="I68" s="125" t="inlineStr">
        <is>
          <t>คน</t>
        </is>
      </c>
      <c r="J68" s="125" t="n">
        <v>28</v>
      </c>
      <c r="K68" s="112" t="n"/>
      <c r="L68" s="7" t="n"/>
      <c r="M68" s="126">
        <f>IF(LEN(C68)&lt;5,"",IF(I68="","โปรดระบุหน่วยนับ",""))</f>
        <v/>
      </c>
      <c r="N68" s="127">
        <f>IF(LEN(C68)&lt;5,"",IF(J68="","โปรดระบุแผน",""))</f>
        <v/>
      </c>
      <c r="O68" s="128" t="n"/>
    </row>
    <row r="69" collapsed="1" s="592">
      <c r="A69" s="51" t="n"/>
      <c r="B69" s="110" t="n"/>
      <c r="C69" s="613" t="n"/>
      <c r="D69" s="595" t="n"/>
      <c r="E69" s="595" t="n"/>
      <c r="F69" s="595" t="n"/>
      <c r="G69" s="595" t="n"/>
      <c r="H69" s="596" t="n"/>
      <c r="I69" s="125" t="n"/>
      <c r="J69" s="125" t="n"/>
      <c r="K69" s="112" t="n"/>
      <c r="L69" s="7" t="n"/>
      <c r="M69" s="126">
        <f>IF(LEN(C69)&lt;5,"",IF(I69="","โปรดระบุหน่วยนับ",""))</f>
        <v/>
      </c>
      <c r="N69" s="127">
        <f>IF(LEN(C69)&lt;5,"",IF(J69="","โปรดระบุแผน",""))</f>
        <v/>
      </c>
      <c r="O69" s="128" t="n"/>
    </row>
    <row r="70" hidden="1" outlineLevel="1" s="592">
      <c r="A70" s="51" t="n"/>
      <c r="B70" s="110" t="n"/>
      <c r="C70" s="613" t="n"/>
      <c r="D70" s="595" t="n"/>
      <c r="E70" s="595" t="n"/>
      <c r="F70" s="595" t="n"/>
      <c r="G70" s="595" t="n"/>
      <c r="H70" s="596" t="n"/>
      <c r="I70" s="125" t="n"/>
      <c r="J70" s="125" t="n"/>
      <c r="K70" s="112" t="n"/>
      <c r="L70" s="7" t="n"/>
      <c r="M70" s="126">
        <f>IF(LEN(C70)&lt;5,"",IF(I70="","โปรดระบุหน่วยนับ",""))</f>
        <v/>
      </c>
      <c r="N70" s="127">
        <f>IF(LEN(C70)&lt;5,"",IF(J70="","โปรดระบุแผน",""))</f>
        <v/>
      </c>
      <c r="O70" s="128" t="n"/>
    </row>
    <row r="71" hidden="1" outlineLevel="1" s="592">
      <c r="A71" s="51" t="n"/>
      <c r="B71" s="110" t="n"/>
      <c r="C71" s="613" t="n"/>
      <c r="D71" s="595" t="n"/>
      <c r="E71" s="595" t="n"/>
      <c r="F71" s="595" t="n"/>
      <c r="G71" s="595" t="n"/>
      <c r="H71" s="596" t="n"/>
      <c r="I71" s="125" t="n"/>
      <c r="J71" s="125" t="n"/>
      <c r="K71" s="112" t="n"/>
      <c r="L71" s="7" t="n"/>
      <c r="M71" s="126">
        <f>IF(LEN(C71)&lt;5,"",IF(I71="","โปรดระบุหน่วยนับ",""))</f>
        <v/>
      </c>
      <c r="N71" s="127">
        <f>IF(LEN(C71)&lt;5,"",IF(J71="","โปรดระบุแผน",""))</f>
        <v/>
      </c>
      <c r="O71" s="128" t="n"/>
    </row>
    <row r="72" hidden="1" outlineLevel="1" s="592">
      <c r="A72" s="51" t="n"/>
      <c r="B72" s="110" t="n"/>
      <c r="C72" s="613" t="n"/>
      <c r="D72" s="595" t="n"/>
      <c r="E72" s="595" t="n"/>
      <c r="F72" s="595" t="n"/>
      <c r="G72" s="595" t="n"/>
      <c r="H72" s="596" t="n"/>
      <c r="I72" s="125" t="n"/>
      <c r="J72" s="125" t="n"/>
      <c r="K72" s="112" t="n"/>
      <c r="L72" s="7" t="n"/>
      <c r="M72" s="126">
        <f>IF(LEN(C72)&lt;5,"",IF(I72="","โปรดระบุหน่วยนับ",""))</f>
        <v/>
      </c>
      <c r="N72" s="127">
        <f>IF(LEN(C72)&lt;5,"",IF(J72="","โปรดระบุแผน",""))</f>
        <v/>
      </c>
      <c r="O72" s="128" t="n"/>
    </row>
    <row r="73" hidden="1" outlineLevel="1" s="592">
      <c r="A73" s="51" t="n"/>
      <c r="B73" s="110" t="n"/>
      <c r="C73" s="613" t="n"/>
      <c r="D73" s="595" t="n"/>
      <c r="E73" s="595" t="n"/>
      <c r="F73" s="595" t="n"/>
      <c r="G73" s="595" t="n"/>
      <c r="H73" s="596" t="n"/>
      <c r="I73" s="125" t="n"/>
      <c r="J73" s="125" t="n"/>
      <c r="K73" s="112" t="n"/>
      <c r="L73" s="7" t="n"/>
      <c r="M73" s="126">
        <f>IF(LEN(C73)&lt;5,"",IF(I73="","โปรดระบุหน่วยนับ",""))</f>
        <v/>
      </c>
      <c r="N73" s="127">
        <f>IF(LEN(C73)&lt;5,"",IF(J73="","โปรดระบุแผน",""))</f>
        <v/>
      </c>
      <c r="O73" s="128" t="n"/>
    </row>
    <row r="74" hidden="1" outlineLevel="1" s="592">
      <c r="A74" s="51" t="n"/>
      <c r="B74" s="110" t="n"/>
      <c r="C74" s="613" t="n"/>
      <c r="D74" s="595" t="n"/>
      <c r="E74" s="595" t="n"/>
      <c r="F74" s="595" t="n"/>
      <c r="G74" s="595" t="n"/>
      <c r="H74" s="596" t="n"/>
      <c r="I74" s="125" t="n"/>
      <c r="J74" s="125" t="n"/>
      <c r="K74" s="112" t="n"/>
      <c r="L74" s="7" t="n"/>
      <c r="M74" s="126">
        <f>IF(LEN(C74)&lt;5,"",IF(I74="","โปรดระบุหน่วยนับ",""))</f>
        <v/>
      </c>
      <c r="N74" s="127">
        <f>IF(LEN(C74)&lt;5,"",IF(J74="","โปรดระบุแผน",""))</f>
        <v/>
      </c>
      <c r="O74" s="128" t="n"/>
    </row>
    <row r="75">
      <c r="A75" s="51" t="n"/>
      <c r="B75" s="110" t="n"/>
      <c r="C75" s="122" t="inlineStr">
        <is>
          <t xml:space="preserve">เชิงคุณภาพ </t>
        </is>
      </c>
      <c r="D75" s="595" t="n"/>
      <c r="E75" s="595" t="n"/>
      <c r="F75" s="595" t="n"/>
      <c r="G75" s="595" t="n"/>
      <c r="H75" s="595" t="n"/>
      <c r="I75" s="123" t="n"/>
      <c r="J75" s="123" t="n"/>
      <c r="K75" s="112" t="n"/>
      <c r="L75" s="7" t="n"/>
      <c r="M75" s="126" t="n"/>
      <c r="N75" s="127" t="n"/>
      <c r="O75" s="128" t="n"/>
    </row>
    <row r="76">
      <c r="A76" s="51" t="n"/>
      <c r="B76" s="110" t="n"/>
      <c r="C76" s="613" t="inlineStr">
        <is>
          <t>ร้อยละของผู้เข้าร่วมที่พึงพอใจต่อกิจกรรม</t>
        </is>
      </c>
      <c r="D76" s="595" t="n"/>
      <c r="E76" s="595" t="n"/>
      <c r="F76" s="595" t="n"/>
      <c r="G76" s="595" t="n"/>
      <c r="H76" s="596" t="n"/>
      <c r="I76" s="125" t="inlineStr">
        <is>
          <t>ร้อยละ</t>
        </is>
      </c>
      <c r="J76" s="125" t="n">
        <v>80</v>
      </c>
      <c r="K76" s="112" t="n"/>
      <c r="L76" s="7" t="n"/>
      <c r="M76" s="126">
        <f>IF(LEN(C76)&lt;5,"",IF(I76="","โปรดระบุหน่วยนับ",""))</f>
        <v/>
      </c>
      <c r="N76" s="127">
        <f>IF(LEN(C76)&lt;5,"",IF(J76="","โปรดระบุแผน",""))</f>
        <v/>
      </c>
      <c r="O76" s="128" t="n"/>
    </row>
    <row r="77">
      <c r="A77" s="51" t="n"/>
      <c r="B77" s="110" t="n"/>
      <c r="C77" s="613" t="inlineStr">
        <is>
          <t>ร้อยละของข้อมูลจากเครือข่ายที่นำไปใช้ในการวางแผนพัฒนา IIC และหลักสูตร</t>
        </is>
      </c>
      <c r="D77" s="595" t="n"/>
      <c r="E77" s="595" t="n"/>
      <c r="F77" s="595" t="n"/>
      <c r="G77" s="595" t="n"/>
      <c r="H77" s="596" t="n"/>
      <c r="I77" s="125" t="inlineStr">
        <is>
          <t>ร้อยละ</t>
        </is>
      </c>
      <c r="J77" s="125" t="n">
        <v>70</v>
      </c>
      <c r="K77" s="112" t="n"/>
      <c r="L77" s="7" t="n"/>
      <c r="M77" s="126">
        <f>IF(LEN(C77)&lt;5,"",IF(I77="","โปรดระบุหน่วยนับ",""))</f>
        <v/>
      </c>
      <c r="N77" s="127">
        <f>IF(LEN(C77)&lt;5,"",IF(J77="","โปรดระบุแผน",""))</f>
        <v/>
      </c>
      <c r="O77" s="128" t="n"/>
    </row>
    <row r="78">
      <c r="A78" s="51" t="n"/>
      <c r="B78" s="110" t="n"/>
      <c r="C78" s="613" t="n"/>
      <c r="D78" s="595" t="n"/>
      <c r="E78" s="595" t="n"/>
      <c r="F78" s="595" t="n"/>
      <c r="G78" s="595" t="n"/>
      <c r="H78" s="596" t="n"/>
      <c r="I78" s="125" t="n"/>
      <c r="J78" s="125" t="n"/>
      <c r="K78" s="112" t="n"/>
      <c r="L78" s="7" t="n"/>
      <c r="M78" s="126">
        <f>IF(LEN(C78)&lt;5,"",IF(I78="","โปรดระบุหน่วยนับ",""))</f>
        <v/>
      </c>
      <c r="N78" s="127">
        <f>IF(LEN(C78)&lt;5,"",IF(J78="","โปรดระบุแผน",""))</f>
        <v/>
      </c>
      <c r="O78" s="128" t="n"/>
    </row>
    <row r="79">
      <c r="A79" s="51" t="n"/>
      <c r="B79" s="110" t="n"/>
      <c r="C79" s="613" t="n"/>
      <c r="D79" s="595" t="n"/>
      <c r="E79" s="595" t="n"/>
      <c r="F79" s="595" t="n"/>
      <c r="G79" s="595" t="n"/>
      <c r="H79" s="596" t="n"/>
      <c r="I79" s="125" t="n"/>
      <c r="J79" s="125" t="n"/>
      <c r="K79" s="112" t="n"/>
      <c r="L79" s="7" t="n"/>
      <c r="M79" s="126">
        <f>IF(LEN(C79)&lt;5,"",IF(I79="","โปรดระบุหน่วยนับ",""))</f>
        <v/>
      </c>
      <c r="N79" s="127">
        <f>IF(LEN(C79)&lt;5,"",IF(J79="","โปรดระบุแผน",""))</f>
        <v/>
      </c>
      <c r="O79" s="128" t="n"/>
    </row>
    <row r="80" collapsed="1" s="592">
      <c r="A80" s="51" t="n"/>
      <c r="B80" s="110" t="n"/>
      <c r="C80" s="613" t="n"/>
      <c r="D80" s="595" t="n"/>
      <c r="E80" s="595" t="n"/>
      <c r="F80" s="595" t="n"/>
      <c r="G80" s="595" t="n"/>
      <c r="H80" s="596" t="n"/>
      <c r="I80" s="125" t="n"/>
      <c r="J80" s="125" t="n"/>
      <c r="K80" s="112" t="n"/>
      <c r="L80" s="7" t="n"/>
      <c r="M80" s="126">
        <f>IF(LEN(C80)&lt;5,"",IF(I80="","โปรดระบุหน่วยนับ",""))</f>
        <v/>
      </c>
      <c r="N80" s="127">
        <f>IF(LEN(C80)&lt;5,"",IF(J80="","โปรดระบุแผน",""))</f>
        <v/>
      </c>
      <c r="O80" s="128" t="n"/>
    </row>
    <row r="81" hidden="1" outlineLevel="1" s="592">
      <c r="A81" s="51" t="n"/>
      <c r="B81" s="110" t="n"/>
      <c r="C81" s="613" t="n"/>
      <c r="D81" s="595" t="n"/>
      <c r="E81" s="595" t="n"/>
      <c r="F81" s="595" t="n"/>
      <c r="G81" s="595" t="n"/>
      <c r="H81" s="596" t="n"/>
      <c r="I81" s="125" t="n"/>
      <c r="J81" s="125" t="n"/>
      <c r="K81" s="112" t="n"/>
      <c r="L81" s="7" t="n"/>
      <c r="M81" s="126">
        <f>IF(LEN(C81)&lt;5,"",IF(I81="","โปรดระบุหน่วยนับ",""))</f>
        <v/>
      </c>
      <c r="N81" s="127">
        <f>IF(LEN(C81)&lt;5,"",IF(J81="","โปรดระบุแผน",""))</f>
        <v/>
      </c>
      <c r="O81" s="128" t="n"/>
    </row>
    <row r="82" hidden="1" outlineLevel="1" s="592">
      <c r="A82" s="51" t="n"/>
      <c r="B82" s="110" t="n"/>
      <c r="C82" s="613" t="n"/>
      <c r="D82" s="595" t="n"/>
      <c r="E82" s="595" t="n"/>
      <c r="F82" s="595" t="n"/>
      <c r="G82" s="595" t="n"/>
      <c r="H82" s="596" t="n"/>
      <c r="I82" s="125" t="n"/>
      <c r="J82" s="125" t="n"/>
      <c r="K82" s="112" t="n"/>
      <c r="L82" s="7" t="n"/>
      <c r="M82" s="126">
        <f>IF(LEN(C82)&lt;5,"",IF(I82="","โปรดระบุหน่วยนับ",""))</f>
        <v/>
      </c>
      <c r="N82" s="127">
        <f>IF(LEN(C82)&lt;5,"",IF(J82="","โปรดระบุแผน",""))</f>
        <v/>
      </c>
      <c r="O82" s="128" t="n"/>
    </row>
    <row r="83" hidden="1" outlineLevel="1" s="592">
      <c r="A83" s="51" t="n"/>
      <c r="B83" s="110" t="n"/>
      <c r="C83" s="613" t="n"/>
      <c r="D83" s="595" t="n"/>
      <c r="E83" s="595" t="n"/>
      <c r="F83" s="595" t="n"/>
      <c r="G83" s="595" t="n"/>
      <c r="H83" s="596" t="n"/>
      <c r="I83" s="125" t="n"/>
      <c r="J83" s="125" t="n"/>
      <c r="K83" s="112" t="n"/>
      <c r="L83" s="7" t="n"/>
      <c r="M83" s="126">
        <f>IF(LEN(C83)&lt;5,"",IF(I83="","โปรดระบุหน่วยนับ",""))</f>
        <v/>
      </c>
      <c r="N83" s="127">
        <f>IF(LEN(C83)&lt;5,"",IF(J83="","โปรดระบุแผน",""))</f>
        <v/>
      </c>
      <c r="O83" s="128" t="n"/>
    </row>
    <row r="84" hidden="1" outlineLevel="1" s="592">
      <c r="A84" s="51" t="n"/>
      <c r="B84" s="110" t="n"/>
      <c r="C84" s="613" t="n"/>
      <c r="D84" s="595" t="n"/>
      <c r="E84" s="595" t="n"/>
      <c r="F84" s="595" t="n"/>
      <c r="G84" s="595" t="n"/>
      <c r="H84" s="596" t="n"/>
      <c r="I84" s="125" t="n"/>
      <c r="J84" s="125" t="n"/>
      <c r="K84" s="112" t="n"/>
      <c r="L84" s="7" t="n"/>
      <c r="M84" s="126">
        <f>IF(LEN(C84)&lt;5,"",IF(I84="","โปรดระบุหน่วยนับ",""))</f>
        <v/>
      </c>
      <c r="N84" s="127">
        <f>IF(LEN(C84)&lt;5,"",IF(J84="","โปรดระบุแผน",""))</f>
        <v/>
      </c>
      <c r="O84" s="128" t="n"/>
    </row>
    <row r="85" hidden="1" outlineLevel="1" s="592">
      <c r="A85" s="51" t="n"/>
      <c r="B85" s="110" t="n"/>
      <c r="C85" s="613" t="n"/>
      <c r="D85" s="595" t="n"/>
      <c r="E85" s="595" t="n"/>
      <c r="F85" s="595" t="n"/>
      <c r="G85" s="595" t="n"/>
      <c r="H85" s="596" t="n"/>
      <c r="I85" s="125" t="n"/>
      <c r="J85" s="125" t="n"/>
      <c r="K85" s="112" t="n"/>
      <c r="L85" s="7" t="n"/>
      <c r="M85" s="126">
        <f>IF(LEN(C85)&lt;5,"",IF(I85="","โปรดระบุหน่วยนับ",""))</f>
        <v/>
      </c>
      <c r="N85" s="127">
        <f>IF(LEN(C85)&lt;5,"",IF(J85="","โปรดระบุแผน",""))</f>
        <v/>
      </c>
      <c r="O85" s="128" t="n"/>
    </row>
    <row r="86">
      <c r="A86" s="51" t="n"/>
      <c r="B86" s="110" t="n"/>
      <c r="C86" s="114" t="n"/>
      <c r="D86" s="112" t="n"/>
      <c r="E86" s="112" t="n"/>
      <c r="F86" s="112" t="n"/>
      <c r="G86" s="112" t="n"/>
      <c r="H86" s="112" t="n"/>
      <c r="I86" s="112" t="n"/>
      <c r="J86" s="112" t="n"/>
      <c r="K86" s="112" t="n"/>
      <c r="L86" s="7" t="n"/>
      <c r="M86" s="115" t="n"/>
      <c r="N86" s="37" t="n"/>
      <c r="O86" s="89" t="n"/>
    </row>
    <row r="87">
      <c r="A87" s="51" t="n"/>
      <c r="B87" s="110" t="n">
        <v>15</v>
      </c>
      <c r="C87" s="614" t="inlineStr">
        <is>
          <t>ผลลัพธ์ที่คาดว่าที่จะได้รับ (Outcome)</t>
        </is>
      </c>
      <c r="D87" s="595" t="n"/>
      <c r="E87" s="595" t="n"/>
      <c r="F87" s="595" t="n"/>
      <c r="G87" s="595" t="n"/>
      <c r="H87" s="595" t="n"/>
      <c r="I87" s="595" t="n"/>
      <c r="J87" s="596" t="n"/>
      <c r="K87" s="112" t="n"/>
      <c r="L87" s="7" t="n"/>
      <c r="M87" s="115" t="n"/>
      <c r="N87" s="37" t="n"/>
      <c r="O87" s="89">
        <f>IF(C88="",0,1)</f>
        <v/>
      </c>
    </row>
    <row r="88">
      <c r="A88" s="51" t="n"/>
      <c r="B88" s="116" t="n"/>
      <c r="C88" s="612" t="inlineStr">
        <is>
          <t>สำนักวิชามีเครือข่ายพันธมิตรด้านนวัตกรรมและเทคโนโลยีดิจิทัลที่เข้มแข็ง สามารถนำไปต่อยอดสำหรับการจัดตั้ง Intelligence Innovation Hub (IIC)</t>
        </is>
      </c>
      <c r="D88" s="595" t="n"/>
      <c r="E88" s="595" t="n"/>
      <c r="F88" s="595" t="n"/>
      <c r="G88" s="595" t="n"/>
      <c r="H88" s="595" t="n"/>
      <c r="I88" s="595" t="n"/>
      <c r="J88" s="596" t="n"/>
      <c r="K88" s="112" t="n"/>
      <c r="L88" s="7" t="n"/>
      <c r="M88" s="115" t="n"/>
      <c r="N88" s="37" t="n"/>
      <c r="O88" s="89" t="n"/>
    </row>
    <row r="89">
      <c r="A89" s="51" t="n"/>
      <c r="B89" s="116" t="n"/>
      <c r="C89" s="612" t="inlineStr">
        <is>
          <t>ได้รายงานสรุปแนวทางการจัดตั้ง Innovation Hub และ Startup Ecosystem ที่เหมาะสมกับบริบทของสำนักวิชา</t>
        </is>
      </c>
      <c r="D89" s="595" t="n"/>
      <c r="E89" s="595" t="n"/>
      <c r="F89" s="595" t="n"/>
      <c r="G89" s="595" t="n"/>
      <c r="H89" s="595" t="n"/>
      <c r="I89" s="595" t="n"/>
      <c r="J89" s="596" t="n"/>
      <c r="K89" s="112" t="n"/>
      <c r="L89" s="7" t="n"/>
      <c r="M89" s="115" t="n"/>
      <c r="N89" s="37" t="n"/>
      <c r="O89" s="89" t="n"/>
    </row>
    <row r="90">
      <c r="A90" s="51" t="n"/>
      <c r="B90" s="116" t="n"/>
      <c r="C90" s="612" t="inlineStr">
        <is>
          <t>มีเครือข่ายศิษย์เก่าในกรุงเทพมหานครที่สามารถสนับสนุนการพัฒนาหลักสูตรและกิจกรรมทางวิชาการอย่างต่อเนื่อง</t>
        </is>
      </c>
      <c r="D90" s="595" t="n"/>
      <c r="E90" s="595" t="n"/>
      <c r="F90" s="595" t="n"/>
      <c r="G90" s="595" t="n"/>
      <c r="H90" s="595" t="n"/>
      <c r="I90" s="595" t="n"/>
      <c r="J90" s="596" t="n"/>
      <c r="K90" s="112" t="n"/>
      <c r="L90" s="7" t="n"/>
      <c r="M90" s="115" t="n"/>
      <c r="N90" s="37" t="n"/>
      <c r="O90" s="89" t="n"/>
    </row>
    <row r="91">
      <c r="A91" s="51" t="n"/>
      <c r="B91" s="116" t="n"/>
      <c r="C91" s="612" t="inlineStr">
        <is>
          <t>อาจารย์ได้รับประสบการณ์และมุมมองใหม่จากการแลกเปลี่ยนกับภาคอุตสาหกรรมและสถาบันชั้นนำ</t>
        </is>
      </c>
      <c r="D91" s="595" t="n"/>
      <c r="E91" s="595" t="n"/>
      <c r="F91" s="595" t="n"/>
      <c r="G91" s="595" t="n"/>
      <c r="H91" s="595" t="n"/>
      <c r="I91" s="595" t="n"/>
      <c r="J91" s="596" t="n"/>
      <c r="K91" s="112" t="n"/>
      <c r="L91" s="7" t="n"/>
      <c r="M91" s="115" t="n"/>
      <c r="N91" s="37" t="n"/>
      <c r="O91" s="89" t="n"/>
    </row>
    <row r="92" collapsed="1" s="592">
      <c r="A92" s="51" t="n"/>
      <c r="B92" s="116" t="n"/>
      <c r="C92" s="612" t="n"/>
      <c r="D92" s="595" t="n"/>
      <c r="E92" s="595" t="n"/>
      <c r="F92" s="595" t="n"/>
      <c r="G92" s="595" t="n"/>
      <c r="H92" s="595" t="n"/>
      <c r="I92" s="595" t="n"/>
      <c r="J92" s="596" t="n"/>
      <c r="K92" s="112" t="n"/>
      <c r="L92" s="7" t="n"/>
      <c r="M92" s="115" t="n"/>
      <c r="N92" s="37" t="n"/>
      <c r="O92" s="89" t="n"/>
    </row>
    <row r="93" hidden="1" outlineLevel="1" s="592">
      <c r="A93" s="51" t="n"/>
      <c r="B93" s="116" t="n"/>
      <c r="C93" s="612" t="n"/>
      <c r="D93" s="595" t="n"/>
      <c r="E93" s="595" t="n"/>
      <c r="F93" s="595" t="n"/>
      <c r="G93" s="595" t="n"/>
      <c r="H93" s="595" t="n"/>
      <c r="I93" s="595" t="n"/>
      <c r="J93" s="596" t="n"/>
      <c r="K93" s="112" t="n"/>
      <c r="L93" s="7" t="n"/>
      <c r="M93" s="115" t="n"/>
      <c r="N93" s="37" t="n"/>
      <c r="O93" s="89" t="n"/>
    </row>
    <row r="94" hidden="1" outlineLevel="1" s="592">
      <c r="A94" s="51" t="n"/>
      <c r="B94" s="116" t="n"/>
      <c r="C94" s="612" t="n"/>
      <c r="D94" s="595" t="n"/>
      <c r="E94" s="595" t="n"/>
      <c r="F94" s="595" t="n"/>
      <c r="G94" s="595" t="n"/>
      <c r="H94" s="595" t="n"/>
      <c r="I94" s="595" t="n"/>
      <c r="J94" s="596" t="n"/>
      <c r="K94" s="112" t="n"/>
      <c r="L94" s="7" t="n"/>
      <c r="M94" s="115" t="n"/>
      <c r="N94" s="37" t="n"/>
      <c r="O94" s="89" t="n"/>
    </row>
    <row r="95" hidden="1" outlineLevel="1" s="592">
      <c r="A95" s="51" t="n"/>
      <c r="B95" s="116" t="n"/>
      <c r="C95" s="612" t="n"/>
      <c r="D95" s="595" t="n"/>
      <c r="E95" s="595" t="n"/>
      <c r="F95" s="595" t="n"/>
      <c r="G95" s="595" t="n"/>
      <c r="H95" s="595" t="n"/>
      <c r="I95" s="595" t="n"/>
      <c r="J95" s="596" t="n"/>
      <c r="K95" s="112" t="n"/>
      <c r="L95" s="7" t="n"/>
      <c r="M95" s="115" t="n"/>
      <c r="N95" s="37" t="n"/>
      <c r="O95" s="89" t="n"/>
    </row>
    <row r="96" hidden="1" outlineLevel="1" s="592">
      <c r="A96" s="51" t="n"/>
      <c r="B96" s="116" t="n"/>
      <c r="C96" s="612" t="n"/>
      <c r="D96" s="595" t="n"/>
      <c r="E96" s="595" t="n"/>
      <c r="F96" s="595" t="n"/>
      <c r="G96" s="595" t="n"/>
      <c r="H96" s="595" t="n"/>
      <c r="I96" s="595" t="n"/>
      <c r="J96" s="596" t="n"/>
      <c r="K96" s="112" t="n"/>
      <c r="L96" s="7" t="n"/>
      <c r="M96" s="115" t="n"/>
      <c r="N96" s="37" t="n"/>
      <c r="O96" s="89" t="n"/>
    </row>
    <row r="97" hidden="1" outlineLevel="1" s="592">
      <c r="A97" s="51" t="n"/>
      <c r="B97" s="116" t="n"/>
      <c r="C97" s="612" t="n"/>
      <c r="D97" s="595" t="n"/>
      <c r="E97" s="595" t="n"/>
      <c r="F97" s="595" t="n"/>
      <c r="G97" s="595" t="n"/>
      <c r="H97" s="595" t="n"/>
      <c r="I97" s="595" t="n"/>
      <c r="J97" s="596" t="n"/>
      <c r="K97" s="112" t="n"/>
      <c r="L97" s="7" t="n"/>
      <c r="M97" s="115" t="n"/>
      <c r="N97" s="37" t="n"/>
      <c r="O97" s="89" t="n"/>
    </row>
    <row r="98">
      <c r="A98" s="51" t="n"/>
      <c r="B98" s="110" t="n"/>
      <c r="C98" s="114" t="n"/>
      <c r="D98" s="112" t="n"/>
      <c r="E98" s="112" t="n"/>
      <c r="F98" s="112" t="n"/>
      <c r="G98" s="112" t="n"/>
      <c r="H98" s="112" t="n"/>
      <c r="I98" s="112" t="n"/>
      <c r="J98" s="112" t="n"/>
      <c r="K98" s="112" t="n"/>
      <c r="L98" s="7" t="n"/>
      <c r="M98" s="115" t="n"/>
      <c r="N98" s="37" t="n"/>
      <c r="O98" s="89" t="n"/>
    </row>
    <row r="99">
      <c r="A99" s="51" t="n"/>
      <c r="B99" s="110" t="n">
        <v>16</v>
      </c>
      <c r="C99" s="114" t="inlineStr">
        <is>
          <t>ประมาณการรายรับของโครงการ (ถ้ามี)</t>
        </is>
      </c>
      <c r="D99" s="112" t="n"/>
      <c r="E99" s="112" t="n"/>
      <c r="F99" s="112" t="n"/>
      <c r="G99" s="112" t="n"/>
      <c r="H99" s="112" t="n"/>
      <c r="I99" s="112" t="n"/>
      <c r="J99" s="112" t="n"/>
      <c r="K99" s="112" t="n"/>
      <c r="L99" s="7" t="n"/>
      <c r="M99" s="115" t="n"/>
      <c r="N99" s="37" t="n"/>
      <c r="O99" s="89" t="n"/>
    </row>
    <row r="100">
      <c r="A100" s="51" t="n"/>
      <c r="B100" s="110" t="n"/>
      <c r="C100" s="121" t="inlineStr">
        <is>
          <t>ประมาณการรายรับ</t>
        </is>
      </c>
      <c r="D100" s="595" t="n"/>
      <c r="E100" s="595" t="n"/>
      <c r="F100" s="595" t="n"/>
      <c r="G100" s="595" t="n"/>
      <c r="H100" s="596" t="n"/>
      <c r="I100" s="121" t="inlineStr">
        <is>
          <t>แผนปี 2570
(บาท)</t>
        </is>
      </c>
      <c r="J100" s="596" t="n"/>
      <c r="K100" s="112" t="n"/>
      <c r="L100" s="7" t="n"/>
      <c r="M100" s="115" t="n"/>
      <c r="N100" s="37" t="n"/>
      <c r="O100" s="89" t="n"/>
    </row>
    <row r="101">
      <c r="A101" s="51" t="n"/>
      <c r="B101" s="110" t="n"/>
      <c r="C101" s="130" t="inlineStr">
        <is>
          <t>รวมทั้งสิ้น</t>
        </is>
      </c>
      <c r="D101" s="595" t="n"/>
      <c r="E101" s="595" t="n"/>
      <c r="F101" s="595" t="n"/>
      <c r="G101" s="595" t="n"/>
      <c r="H101" s="595" t="n"/>
      <c r="I101" s="615">
        <f>SUM(I102:J106)</f>
        <v/>
      </c>
      <c r="J101" s="596" t="n"/>
      <c r="K101" s="112" t="n"/>
      <c r="L101" s="7" t="n"/>
      <c r="M101" s="115" t="n"/>
      <c r="N101" s="37" t="n"/>
      <c r="O101" s="89" t="n"/>
    </row>
    <row r="102">
      <c r="A102" s="51" t="n"/>
      <c r="B102" s="110" t="n"/>
      <c r="C102" s="613" t="n"/>
      <c r="D102" s="595" t="n"/>
      <c r="E102" s="595" t="n"/>
      <c r="F102" s="595" t="n"/>
      <c r="G102" s="595" t="n"/>
      <c r="H102" s="596" t="n"/>
      <c r="I102" s="616" t="n"/>
      <c r="J102" s="596" t="n"/>
      <c r="K102" s="112" t="n"/>
      <c r="L102" s="7" t="n"/>
      <c r="M102" s="115" t="n"/>
      <c r="N102" s="37" t="n"/>
      <c r="O102" s="89" t="n"/>
    </row>
    <row r="103">
      <c r="A103" s="51" t="n"/>
      <c r="B103" s="110" t="n"/>
      <c r="C103" s="613" t="n"/>
      <c r="D103" s="595" t="n"/>
      <c r="E103" s="595" t="n"/>
      <c r="F103" s="595" t="n"/>
      <c r="G103" s="595" t="n"/>
      <c r="H103" s="596" t="n"/>
      <c r="I103" s="616" t="n"/>
      <c r="J103" s="596" t="n"/>
      <c r="K103" s="112" t="n"/>
      <c r="L103" s="7" t="n"/>
      <c r="M103" s="115" t="n"/>
      <c r="N103" s="37" t="n"/>
      <c r="O103" s="89" t="n"/>
    </row>
    <row r="104">
      <c r="A104" s="51" t="n"/>
      <c r="B104" s="110" t="n"/>
      <c r="C104" s="613" t="n"/>
      <c r="D104" s="595" t="n"/>
      <c r="E104" s="595" t="n"/>
      <c r="F104" s="595" t="n"/>
      <c r="G104" s="595" t="n"/>
      <c r="H104" s="596" t="n"/>
      <c r="I104" s="616" t="n"/>
      <c r="J104" s="596" t="n"/>
      <c r="K104" s="112" t="n"/>
      <c r="L104" s="7" t="n"/>
      <c r="M104" s="115" t="n"/>
      <c r="N104" s="37" t="n"/>
      <c r="O104" s="89" t="n"/>
    </row>
    <row r="105">
      <c r="A105" s="51" t="n"/>
      <c r="B105" s="110" t="n"/>
      <c r="C105" s="613" t="n"/>
      <c r="D105" s="595" t="n"/>
      <c r="E105" s="595" t="n"/>
      <c r="F105" s="595" t="n"/>
      <c r="G105" s="595" t="n"/>
      <c r="H105" s="596" t="n"/>
      <c r="I105" s="616" t="n"/>
      <c r="J105" s="596" t="n"/>
      <c r="K105" s="112" t="n"/>
      <c r="L105" s="7" t="n"/>
      <c r="M105" s="115" t="n"/>
      <c r="N105" s="37" t="n"/>
      <c r="O105" s="89" t="n"/>
    </row>
    <row r="106">
      <c r="A106" s="51" t="n"/>
      <c r="B106" s="110" t="n"/>
      <c r="C106" s="613" t="n"/>
      <c r="D106" s="595" t="n"/>
      <c r="E106" s="595" t="n"/>
      <c r="F106" s="595" t="n"/>
      <c r="G106" s="595" t="n"/>
      <c r="H106" s="596" t="n"/>
      <c r="I106" s="616" t="n"/>
      <c r="J106" s="596" t="n"/>
      <c r="K106" s="112" t="n"/>
      <c r="L106" s="7" t="n"/>
      <c r="M106" s="115" t="n"/>
      <c r="N106" s="37" t="n"/>
      <c r="O106" s="89" t="n"/>
    </row>
    <row r="107">
      <c r="A107" s="51" t="n"/>
      <c r="B107" s="133" t="n"/>
      <c r="C107" s="133" t="n"/>
      <c r="D107" s="133" t="n"/>
      <c r="E107" s="133" t="n"/>
      <c r="F107" s="133" t="n"/>
      <c r="G107" s="133" t="n"/>
      <c r="H107" s="133" t="n"/>
      <c r="I107" s="133" t="n"/>
      <c r="J107" s="133" t="n"/>
      <c r="K107" s="133" t="n"/>
      <c r="L107" s="7" t="n"/>
      <c r="M107" s="115" t="n"/>
      <c r="N107" s="37" t="n"/>
      <c r="O107" s="89" t="n"/>
    </row>
    <row r="108" ht="7.5" customHeight="1" s="592">
      <c r="A108" s="51" t="n"/>
      <c r="B108" s="51" t="n"/>
      <c r="C108" s="134" t="n"/>
      <c r="D108" s="134" t="n"/>
      <c r="E108" s="134" t="n"/>
      <c r="F108" s="134" t="n"/>
      <c r="G108" s="134" t="n"/>
      <c r="H108" s="134" t="n"/>
      <c r="I108" s="134" t="n"/>
      <c r="J108" s="134" t="n"/>
      <c r="K108" s="134" t="n"/>
      <c r="L108" s="135" t="n"/>
      <c r="M108" s="115" t="n"/>
      <c r="N108" s="37" t="n"/>
      <c r="O108" s="89" t="n"/>
    </row>
  </sheetData>
  <mergeCells count="91">
    <mergeCell ref="C103:H103"/>
    <mergeCell ref="C85:H85"/>
    <mergeCell ref="I104:J104"/>
    <mergeCell ref="C42:J42"/>
    <mergeCell ref="C75:H75"/>
    <mergeCell ref="I106:J106"/>
    <mergeCell ref="D6:E6"/>
    <mergeCell ref="C72:H72"/>
    <mergeCell ref="C81:H81"/>
    <mergeCell ref="C59:J59"/>
    <mergeCell ref="C46:J46"/>
    <mergeCell ref="C78:H78"/>
    <mergeCell ref="C52:J52"/>
    <mergeCell ref="D20:I20"/>
    <mergeCell ref="C39:J39"/>
    <mergeCell ref="G10:J10"/>
    <mergeCell ref="C48:J48"/>
    <mergeCell ref="C104:H104"/>
    <mergeCell ref="D22:I22"/>
    <mergeCell ref="C79:H79"/>
    <mergeCell ref="C73:H73"/>
    <mergeCell ref="D21:I21"/>
    <mergeCell ref="C87:J87"/>
    <mergeCell ref="C63:H63"/>
    <mergeCell ref="D10:E10"/>
    <mergeCell ref="D24:G24"/>
    <mergeCell ref="C89:J89"/>
    <mergeCell ref="C105:H105"/>
    <mergeCell ref="M1:M2"/>
    <mergeCell ref="C88:J88"/>
    <mergeCell ref="C55:J55"/>
    <mergeCell ref="C67:H67"/>
    <mergeCell ref="C36:J36"/>
    <mergeCell ref="C69:H69"/>
    <mergeCell ref="C83:H83"/>
    <mergeCell ref="D19:I19"/>
    <mergeCell ref="B1:K1"/>
    <mergeCell ref="C64:H64"/>
    <mergeCell ref="C96:J96"/>
    <mergeCell ref="C92:J92"/>
    <mergeCell ref="D13:I13"/>
    <mergeCell ref="D32:F32"/>
    <mergeCell ref="H32:J32"/>
    <mergeCell ref="C71:H71"/>
    <mergeCell ref="C76:H76"/>
    <mergeCell ref="C54:J54"/>
    <mergeCell ref="I103:J103"/>
    <mergeCell ref="C41:J41"/>
    <mergeCell ref="C93:J93"/>
    <mergeCell ref="D8:F8"/>
    <mergeCell ref="C82:H82"/>
    <mergeCell ref="C56:J56"/>
    <mergeCell ref="C90:J90"/>
    <mergeCell ref="C66:H66"/>
    <mergeCell ref="C43:J43"/>
    <mergeCell ref="C102:H102"/>
    <mergeCell ref="H26:J26"/>
    <mergeCell ref="C68:H68"/>
    <mergeCell ref="D7:J7"/>
    <mergeCell ref="C53:J53"/>
    <mergeCell ref="B4:C4"/>
    <mergeCell ref="C100:H100"/>
    <mergeCell ref="C65:H65"/>
    <mergeCell ref="I105:J105"/>
    <mergeCell ref="C84:H84"/>
    <mergeCell ref="C80:H80"/>
    <mergeCell ref="C58:J58"/>
    <mergeCell ref="C45:J45"/>
    <mergeCell ref="I101:J101"/>
    <mergeCell ref="C97:J97"/>
    <mergeCell ref="D23:G23"/>
    <mergeCell ref="I100:J100"/>
    <mergeCell ref="C94:J94"/>
    <mergeCell ref="C70:H70"/>
    <mergeCell ref="C47:J47"/>
    <mergeCell ref="C106:H106"/>
    <mergeCell ref="C44:J44"/>
    <mergeCell ref="I102:J102"/>
    <mergeCell ref="N1:N2"/>
    <mergeCell ref="B3:K3"/>
    <mergeCell ref="C40:J40"/>
    <mergeCell ref="D14:I14"/>
    <mergeCell ref="C95:J95"/>
    <mergeCell ref="C51:J51"/>
    <mergeCell ref="C60:J60"/>
    <mergeCell ref="C101:H101"/>
    <mergeCell ref="B2:K2"/>
    <mergeCell ref="C77:H77"/>
    <mergeCell ref="C91:J91"/>
    <mergeCell ref="C74:H74"/>
    <mergeCell ref="C57:J57"/>
  </mergeCells>
  <conditionalFormatting sqref="N1">
    <cfRule type="cellIs" priority="1" operator="equal" dxfId="0">
      <formula>15</formula>
    </cfRule>
  </conditionalFormatting>
  <conditionalFormatting sqref="D10:D11 E9:E11">
    <cfRule type="containsText" priority="2" operator="containsText" dxfId="1" text="โปรดระบุ">
      <formula>NOT(ISERROR(SEARCH(("โปรดระบุ"),(E9))))</formula>
    </cfRule>
  </conditionalFormatting>
  <conditionalFormatting sqref="H23:H24">
    <cfRule type="containsText" priority="3" operator="containsText" dxfId="2" text="โปรดแนบรายละเอียด">
      <formula>NOT(ISERROR(SEARCH(("โปรดแนบรายละเอียด"),(H23))))</formula>
    </cfRule>
  </conditionalFormatting>
  <conditionalFormatting sqref="I23:I24">
    <cfRule type="expression" priority="4" dxfId="3">
      <formula>H23="โปรดแนบรายละเอียด"</formula>
    </cfRule>
  </conditionalFormatting>
  <conditionalFormatting sqref="D28">
    <cfRule type="containsText" priority="5" operator="containsText" dxfId="1" text="โปรดระบุ">
      <formula>NOT(ISERROR(SEARCH(("โปรดระบุ"),(D28))))</formula>
    </cfRule>
    <cfRule type="cellIs" priority="6" operator="greaterThan" dxfId="4">
      <formula>0</formula>
    </cfRule>
  </conditionalFormatting>
  <conditionalFormatting sqref="D14:I14">
    <cfRule type="expression" priority="7" dxfId="5">
      <formula>D13=""</formula>
    </cfRule>
  </conditionalFormatting>
  <conditionalFormatting sqref="F10">
    <cfRule type="containsText" priority="8" operator="containsText" dxfId="2" text="ระบุประเภท">
      <formula>NOT(ISERROR(SEARCH(("ระบุประเภท"),(F10))))</formula>
    </cfRule>
  </conditionalFormatting>
  <conditionalFormatting sqref="G10:H10">
    <cfRule type="expression" priority="9" dxfId="3">
      <formula>F10="โปรดระบุประเภท"</formula>
    </cfRule>
  </conditionalFormatting>
  <dataValidations count="12">
    <dataValidation sqref="I29:I30" showDropDown="0" showInputMessage="0" showErrorMessage="0" allowBlank="1" type="list">
      <formula1>'Listคก.งาน'!$C$2:$C108</formula1>
    </dataValidation>
    <dataValidation sqref="D10" showDropDown="0" showInputMessage="0" showErrorMessage="1" allowBlank="1" type="list">
      <formula1>"พัฒนานักศึกษา,พัฒนาสำนักวิชา,มาตรฐานหลักสูตร,อื่น ๆ"</formula1>
    </dataValidation>
    <dataValidation sqref="G29:G30" showDropDown="0" showInputMessage="0" showErrorMessage="0" allowBlank="1" type="list">
      <formula1>'Listคก.งาน'!$A$2:$A$32</formula1>
    </dataValidation>
    <dataValidation sqref="D20" showDropDown="0" showInputMessage="0" showErrorMessage="1" allowBlank="1" type="list">
      <formula1>'Listความเชื่อมโยง'!$K$2:$K108</formula1>
    </dataValidation>
    <dataValidation sqref="D19" showDropDown="0" showInputMessage="0" showErrorMessage="1" allowBlank="1" type="list">
      <formula1>'Listความเชื่อมโยง'!$N$2:$N108</formula1>
    </dataValidation>
    <dataValidation sqref="D14" showDropDown="0" showInputMessage="0" showErrorMessage="1" allowBlank="1" type="list">
      <formula1>'List-KPI'!$B$2:$B108</formula1>
    </dataValidation>
    <dataValidation sqref="D9" showDropDown="0" showInputMessage="0" showErrorMessage="0" allowBlank="1" type="list">
      <formula1>ListCost_Center!$A2:$A108</formula1>
    </dataValidation>
    <dataValidation sqref="D8" showDropDown="1" showInputMessage="1" showErrorMessage="1" allowBlank="1" prompt="**กรุณาแก้ไขชื่อย่อ โดยห้ามเกิน 25 ตัวอักษร" type="custom">
      <formula1>LEN(D8)&lt;=25</formula1>
    </dataValidation>
    <dataValidation sqref="D13" showDropDown="0" showInputMessage="0" showErrorMessage="1" allowBlank="1" type="list">
      <formula1>dropdown_plan6!$O$2:$O108</formula1>
    </dataValidation>
    <dataValidation sqref="H29:H30" showDropDown="0" showInputMessage="0" showErrorMessage="0" allowBlank="1" type="list">
      <formula1>'Listคก.งาน'!$B$2:$B$13</formula1>
    </dataValidation>
    <dataValidation sqref="D21" showDropDown="0" showInputMessage="0" showErrorMessage="1" allowBlank="1" type="list">
      <formula1>'Listความเชื่อมโยง'!$E$2:$E$18</formula1>
    </dataValidation>
    <dataValidation sqref="D22" showDropDown="0" showInputMessage="0" showErrorMessage="1" allowBlank="1" type="list">
      <formula1>'Listความเชื่อมโยง'!$A$2:$A$4</formula1>
    </dataValidation>
  </dataValidations>
  <hyperlinks>
    <hyperlink xmlns:r="http://schemas.openxmlformats.org/officeDocument/2006/relationships" ref="M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0.13" customWidth="1" style="592" min="2" max="2"/>
  </cols>
  <sheetData>
    <row r="1">
      <c r="A1" s="138" t="inlineStr">
        <is>
          <t>⚠️ SHEET RESERVED FOR =CLAUDE... FUNCTIONS. DO NOT EDIT! ⚠️</t>
        </is>
      </c>
      <c r="B1" s="139" t="n"/>
      <c r="C1" s="138" t="n"/>
    </row>
    <row r="2">
      <c r="A2" s="138" t="inlineStr">
        <is>
          <t>Key</t>
        </is>
      </c>
      <c r="B2" s="139" t="inlineStr">
        <is>
          <t>Value</t>
        </is>
      </c>
      <c r="C2" s="138" t="inlineStr">
        <is>
          <t>Expiration</t>
        </is>
      </c>
    </row>
    <row r="3">
      <c r="B3" s="140" t="n"/>
    </row>
    <row r="4">
      <c r="B4" s="140" t="n"/>
    </row>
    <row r="5">
      <c r="B5" s="140" t="n"/>
    </row>
    <row r="6">
      <c r="B6" s="140" t="n"/>
    </row>
    <row r="7">
      <c r="B7" s="140" t="n"/>
    </row>
    <row r="8">
      <c r="B8" s="140" t="n"/>
    </row>
    <row r="9">
      <c r="B9" s="140" t="n"/>
    </row>
    <row r="10">
      <c r="B10" s="140" t="n"/>
    </row>
    <row r="11">
      <c r="B11" s="140" t="n"/>
    </row>
    <row r="12">
      <c r="B12" s="140" t="n"/>
    </row>
    <row r="13">
      <c r="B13" s="140" t="n"/>
    </row>
    <row r="14">
      <c r="B14" s="140" t="n"/>
    </row>
    <row r="15">
      <c r="B15" s="140" t="n"/>
    </row>
    <row r="16">
      <c r="B16" s="140" t="n"/>
    </row>
    <row r="17">
      <c r="B17" s="140" t="n"/>
    </row>
    <row r="18">
      <c r="B18" s="140" t="n"/>
    </row>
    <row r="19">
      <c r="B19" s="140" t="n"/>
    </row>
    <row r="20">
      <c r="B20" s="140" t="n"/>
    </row>
    <row r="21">
      <c r="B21" s="140" t="n"/>
    </row>
    <row r="22">
      <c r="B22" s="140" t="n"/>
    </row>
    <row r="23">
      <c r="B23" s="140" t="n"/>
    </row>
    <row r="24">
      <c r="B24" s="140" t="n"/>
    </row>
    <row r="25">
      <c r="B25" s="140" t="n"/>
    </row>
    <row r="26">
      <c r="B26" s="140" t="n"/>
    </row>
    <row r="27">
      <c r="B27" s="140" t="n"/>
    </row>
    <row r="28">
      <c r="B28" s="140" t="n"/>
    </row>
    <row r="29">
      <c r="B29" s="140" t="n"/>
    </row>
    <row r="30">
      <c r="B30" s="140" t="n"/>
    </row>
    <row r="31">
      <c r="B31" s="140" t="n"/>
    </row>
    <row r="32">
      <c r="B32" s="140" t="n"/>
    </row>
    <row r="33">
      <c r="B33" s="140" t="n"/>
    </row>
    <row r="34">
      <c r="B34" s="140" t="n"/>
    </row>
    <row r="35">
      <c r="B35" s="140" t="n"/>
    </row>
    <row r="36">
      <c r="B36" s="140" t="n"/>
    </row>
    <row r="37">
      <c r="B37" s="140" t="n"/>
    </row>
    <row r="38">
      <c r="B38" s="140" t="n"/>
    </row>
    <row r="39">
      <c r="B39" s="140" t="n"/>
    </row>
    <row r="40">
      <c r="B40" s="140" t="n"/>
    </row>
    <row r="41">
      <c r="B41" s="140" t="n"/>
    </row>
    <row r="42">
      <c r="B42" s="140" t="n"/>
    </row>
    <row r="43">
      <c r="B43" s="140" t="n"/>
    </row>
    <row r="44">
      <c r="B44" s="140" t="n"/>
    </row>
    <row r="45">
      <c r="B45" s="140" t="n"/>
    </row>
    <row r="46">
      <c r="B46" s="140" t="n"/>
    </row>
    <row r="47">
      <c r="B47" s="140" t="n"/>
    </row>
    <row r="48">
      <c r="B48" s="140" t="n"/>
    </row>
    <row r="49">
      <c r="B49" s="140" t="n"/>
    </row>
    <row r="50">
      <c r="B50" s="140" t="n"/>
    </row>
    <row r="51">
      <c r="B51" s="140" t="n"/>
    </row>
    <row r="52">
      <c r="B52" s="140" t="n"/>
    </row>
    <row r="53">
      <c r="B53" s="140" t="n"/>
    </row>
    <row r="54">
      <c r="B54" s="140" t="n"/>
    </row>
    <row r="55">
      <c r="B55" s="140" t="n"/>
    </row>
    <row r="56">
      <c r="B56" s="140" t="n"/>
    </row>
    <row r="57">
      <c r="B57" s="140" t="n"/>
    </row>
    <row r="58">
      <c r="B58" s="140" t="n"/>
    </row>
    <row r="59">
      <c r="B59" s="140" t="n"/>
    </row>
    <row r="60">
      <c r="B60" s="140" t="n"/>
    </row>
    <row r="61">
      <c r="B61" s="140" t="n"/>
    </row>
    <row r="62">
      <c r="B62" s="140" t="n"/>
    </row>
    <row r="63">
      <c r="B63" s="140" t="n"/>
    </row>
    <row r="64">
      <c r="B64" s="140" t="n"/>
    </row>
    <row r="65">
      <c r="B65" s="140" t="n"/>
    </row>
    <row r="66">
      <c r="B66" s="140" t="n"/>
    </row>
    <row r="67">
      <c r="B67" s="140" t="n"/>
    </row>
    <row r="68">
      <c r="B68" s="140" t="n"/>
    </row>
    <row r="69">
      <c r="B69" s="140" t="n"/>
    </row>
    <row r="70">
      <c r="B70" s="140" t="n"/>
    </row>
    <row r="71">
      <c r="B71" s="140" t="n"/>
    </row>
    <row r="72">
      <c r="B72" s="140" t="n"/>
    </row>
    <row r="73">
      <c r="B73" s="140" t="n"/>
    </row>
    <row r="74">
      <c r="B74" s="140" t="n"/>
    </row>
    <row r="75">
      <c r="B75" s="140" t="n"/>
    </row>
    <row r="76">
      <c r="B76" s="140" t="n"/>
    </row>
    <row r="77">
      <c r="B77" s="140" t="n"/>
    </row>
    <row r="78">
      <c r="B78" s="140" t="n"/>
    </row>
    <row r="79">
      <c r="B79" s="140" t="n"/>
    </row>
    <row r="80">
      <c r="B80" s="140" t="n"/>
    </row>
    <row r="81">
      <c r="B81" s="140" t="n"/>
    </row>
    <row r="82">
      <c r="B82" s="140" t="n"/>
    </row>
    <row r="83">
      <c r="B83" s="140" t="n"/>
    </row>
    <row r="84">
      <c r="B84" s="140" t="n"/>
    </row>
    <row r="85">
      <c r="B85" s="140" t="n"/>
    </row>
    <row r="86">
      <c r="B86" s="140" t="n"/>
    </row>
    <row r="87">
      <c r="B87" s="140" t="n"/>
    </row>
    <row r="88">
      <c r="B88" s="140" t="n"/>
    </row>
    <row r="89">
      <c r="B89" s="140" t="n"/>
    </row>
    <row r="90">
      <c r="B90" s="140" t="n"/>
    </row>
    <row r="91">
      <c r="B91" s="140" t="n"/>
    </row>
    <row r="92">
      <c r="B92" s="140" t="n"/>
    </row>
    <row r="93">
      <c r="B93" s="140" t="n"/>
    </row>
    <row r="94">
      <c r="B94" s="140" t="n"/>
    </row>
    <row r="95">
      <c r="B95" s="140" t="n"/>
    </row>
    <row r="96">
      <c r="B96" s="140" t="n"/>
    </row>
    <row r="97">
      <c r="B97" s="140" t="n"/>
    </row>
    <row r="98">
      <c r="B98" s="140" t="n"/>
    </row>
    <row r="99">
      <c r="B99" s="140" t="n"/>
    </row>
    <row r="100">
      <c r="B100" s="1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06666"/>
    <outlinePr summaryBelow="0" summaryRight="0"/>
    <pageSetUpPr/>
  </sheetPr>
  <dimension ref="A1:AI430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.75" customHeight="1" outlineLevelRow="1"/>
  <cols>
    <col width="6.13" customWidth="1" style="592" min="1" max="1"/>
    <col width="10.25" customWidth="1" style="592" min="2" max="2"/>
    <col width="23.63" customWidth="1" style="592" min="3" max="3"/>
    <col width="15.88" customWidth="1" style="592" min="4" max="4"/>
    <col width="15.13" customWidth="1" style="592" min="5" max="5"/>
    <col width="8.880000000000001" customWidth="1" style="592" min="6" max="9"/>
    <col width="10.13" customWidth="1" style="592" min="10" max="10"/>
    <col width="8.880000000000001" customWidth="1" style="592" min="11" max="11"/>
    <col hidden="1" width="15.13" customWidth="1" style="592" min="12" max="12"/>
    <col hidden="1" width="8.880000000000001" customWidth="1" style="592" min="13" max="16"/>
    <col hidden="1" width="10.13" customWidth="1" style="592" min="17" max="17"/>
    <col hidden="1" width="8.880000000000001" customWidth="1" style="592" min="18" max="18"/>
    <col hidden="1" width="20.13" customWidth="1" style="592" min="19" max="19"/>
    <col hidden="1" width="15.13" customWidth="1" style="592" min="20" max="20"/>
    <col hidden="1" width="8.880000000000001" customWidth="1" style="592" min="21" max="24"/>
    <col hidden="1" width="10.13" customWidth="1" style="592" min="25" max="25"/>
    <col hidden="1" width="8.880000000000001" customWidth="1" style="592" min="26" max="26"/>
    <col hidden="1" width="20.13" customWidth="1" style="592" min="27" max="27"/>
    <col width="20.38" customWidth="1" style="592" min="28" max="28"/>
    <col width="20.75" customWidth="1" style="592" min="29" max="29"/>
    <col hidden="1" width="16.38" customWidth="1" style="592" min="30" max="32"/>
    <col hidden="1" width="5.13" customWidth="1" style="592" min="33" max="33"/>
    <col hidden="1" width="16.38" customWidth="1" style="592" min="34" max="34"/>
    <col width="16.38" customWidth="1" style="592" min="35" max="35"/>
  </cols>
  <sheetData>
    <row r="1" hidden="1" ht="48.75" customHeight="1" s="592">
      <c r="A1" s="141" t="n"/>
      <c r="AI1" s="142" t="n"/>
    </row>
    <row r="2" hidden="1" s="592">
      <c r="A2" s="143" t="inlineStr">
        <is>
          <t>แบบคำของบประมาณ โครงการปฏิบัติการ 
ประจำปีงบประมาณ พ.ศ. 2570</t>
        </is>
      </c>
      <c r="AI2" s="144" t="n"/>
    </row>
    <row r="3" hidden="1" ht="8.25" customHeight="1" s="592">
      <c r="A3" s="153" t="n"/>
      <c r="B3" s="146" t="n"/>
      <c r="C3" s="147" t="n"/>
      <c r="D3" s="148" t="n"/>
      <c r="E3" s="153" t="n"/>
      <c r="F3" s="149" t="n"/>
      <c r="G3" s="150" t="n"/>
      <c r="H3" s="149" t="n"/>
      <c r="I3" s="150" t="n"/>
      <c r="J3" s="153" t="n"/>
      <c r="K3" s="151" t="n"/>
      <c r="L3" s="153" t="n"/>
      <c r="M3" s="149" t="n"/>
      <c r="N3" s="150" t="n"/>
      <c r="O3" s="149" t="n"/>
      <c r="P3" s="150" t="n"/>
      <c r="Q3" s="153" t="n"/>
      <c r="R3" s="151" t="n"/>
      <c r="S3" s="153" t="n"/>
      <c r="T3" s="153" t="n"/>
      <c r="U3" s="149" t="n"/>
      <c r="V3" s="150" t="n"/>
      <c r="W3" s="149" t="n"/>
      <c r="X3" s="150" t="n"/>
      <c r="Y3" s="153" t="n"/>
      <c r="Z3" s="151" t="n"/>
      <c r="AA3" s="153" t="n"/>
      <c r="AB3" s="153" t="n"/>
      <c r="AC3" s="147" t="n"/>
      <c r="AD3" s="153" t="n"/>
      <c r="AE3" s="153" t="n"/>
      <c r="AF3" s="153" t="n"/>
      <c r="AG3" s="153" t="n"/>
      <c r="AH3" s="153" t="n"/>
      <c r="AI3" s="154" t="n"/>
    </row>
    <row r="4" hidden="1" s="592">
      <c r="A4" s="158" t="inlineStr">
        <is>
          <t>หน่วยงาน</t>
        </is>
      </c>
      <c r="C4" s="156">
        <f>'โครงการ'!D4</f>
        <v/>
      </c>
      <c r="D4" s="157">
        <f>'โครงการ'!D9</f>
        <v/>
      </c>
      <c r="E4" s="158" t="n"/>
      <c r="F4" s="161" t="n"/>
      <c r="G4" s="160" t="n"/>
      <c r="H4" s="161" t="n"/>
      <c r="I4" s="160" t="n"/>
      <c r="J4" s="158" t="n"/>
      <c r="K4" s="161" t="n"/>
      <c r="L4" s="158" t="n"/>
      <c r="M4" s="161" t="n"/>
      <c r="N4" s="160" t="n"/>
      <c r="O4" s="161" t="n"/>
      <c r="P4" s="160" t="n"/>
      <c r="Q4" s="158" t="n"/>
      <c r="R4" s="161" t="n"/>
      <c r="S4" s="158" t="n"/>
      <c r="T4" s="158" t="n"/>
      <c r="U4" s="161" t="n"/>
      <c r="V4" s="160" t="n"/>
      <c r="W4" s="161" t="n"/>
      <c r="X4" s="160" t="n"/>
      <c r="Y4" s="158" t="n"/>
      <c r="Z4" s="161" t="n"/>
      <c r="AA4" s="158" t="n"/>
      <c r="AB4" s="158" t="n"/>
      <c r="AC4" s="158" t="n"/>
      <c r="AD4" s="158" t="n"/>
      <c r="AE4" s="158" t="n"/>
      <c r="AF4" s="158" t="n"/>
      <c r="AG4" s="158" t="n"/>
      <c r="AH4" s="158" t="n"/>
      <c r="AI4" s="162" t="n"/>
    </row>
    <row r="5" hidden="1" s="592">
      <c r="A5" s="158">
        <f>'โครงการ'!D6</f>
        <v/>
      </c>
      <c r="C5" s="163">
        <f>'โครงการ'!D7</f>
        <v/>
      </c>
      <c r="D5" s="163" t="n"/>
      <c r="E5" s="163" t="n"/>
      <c r="F5" s="164" t="n"/>
      <c r="G5" s="160" t="n"/>
      <c r="H5" s="164" t="n"/>
      <c r="I5" s="160" t="n"/>
      <c r="J5" s="166" t="n"/>
      <c r="K5" s="161" t="n"/>
      <c r="L5" s="166" t="n"/>
      <c r="M5" s="164" t="n"/>
      <c r="N5" s="160" t="n"/>
      <c r="O5" s="164" t="n"/>
      <c r="P5" s="160" t="n"/>
      <c r="Q5" s="166" t="n"/>
      <c r="R5" s="161" t="n"/>
      <c r="S5" s="166" t="n"/>
      <c r="T5" s="166" t="n"/>
      <c r="U5" s="164" t="n"/>
      <c r="V5" s="160" t="n"/>
      <c r="W5" s="164" t="n"/>
      <c r="X5" s="160" t="n"/>
      <c r="Y5" s="166" t="n"/>
      <c r="Z5" s="161" t="n"/>
      <c r="AA5" s="166" t="n"/>
      <c r="AB5" s="166" t="n"/>
      <c r="AC5" s="166" t="n"/>
      <c r="AD5" s="166" t="n"/>
      <c r="AE5" s="166" t="n"/>
      <c r="AF5" s="166" t="n"/>
      <c r="AG5" s="166" t="n"/>
      <c r="AH5" s="166" t="n"/>
      <c r="AI5" s="167" t="n"/>
    </row>
    <row r="6" ht="18.75" customHeight="1" s="592">
      <c r="A6" s="168" t="inlineStr">
        <is>
          <t>รายละเอียดงบประมาณโครงการ</t>
        </is>
      </c>
      <c r="B6" s="169" t="n"/>
      <c r="C6" s="170" t="n"/>
      <c r="D6" s="171" t="n"/>
      <c r="E6" s="601" t="n"/>
      <c r="F6" s="172">
        <f t="array" ref="F6">XLOOKUP(D6,'Listคก.งาน'!K31:K49,'Listคก.งาน'!M31:M49,"")</f>
        <v/>
      </c>
      <c r="G6" s="601" t="n"/>
      <c r="H6" s="173" t="n"/>
      <c r="I6" s="174" t="n"/>
      <c r="J6" s="177" t="n"/>
      <c r="K6" s="176" t="n"/>
      <c r="L6" s="177" t="n"/>
      <c r="M6" s="173" t="n"/>
      <c r="N6" s="174" t="n"/>
      <c r="O6" s="173" t="n"/>
      <c r="P6" s="174" t="n"/>
      <c r="Q6" s="177" t="n"/>
      <c r="R6" s="176" t="n"/>
      <c r="S6" s="177" t="n"/>
      <c r="T6" s="177" t="n"/>
      <c r="U6" s="173" t="n"/>
      <c r="V6" s="174" t="n"/>
      <c r="W6" s="173" t="n"/>
      <c r="X6" s="174" t="n"/>
      <c r="Y6" s="177" t="n"/>
      <c r="Z6" s="176" t="n"/>
      <c r="AA6" s="177" t="n"/>
      <c r="AB6" s="177" t="n"/>
      <c r="AC6" s="170" t="n"/>
      <c r="AD6" s="179" t="n"/>
      <c r="AE6" s="179" t="n"/>
      <c r="AF6" s="179" t="n"/>
      <c r="AG6" s="179" t="n"/>
      <c r="AH6" s="179" t="n"/>
      <c r="AI6" s="180" t="n"/>
    </row>
    <row r="7">
      <c r="A7" s="617" t="inlineStr">
        <is>
          <t>ลำดับที่</t>
        </is>
      </c>
      <c r="B7" s="618" t="inlineStr">
        <is>
          <t>รหัสรายการ
งบประมาณ</t>
        </is>
      </c>
      <c r="C7" s="618" t="inlineStr">
        <is>
          <t>ชื่อรายการงบประมาณ</t>
        </is>
      </c>
      <c r="D7" s="618" t="inlineStr">
        <is>
          <t>ชื่อบัญชีงบประมาณ</t>
        </is>
      </c>
      <c r="E7" s="619" t="inlineStr">
        <is>
          <t>คำของบประมาณ
(บาท)</t>
        </is>
      </c>
      <c r="F7" s="205" t="inlineStr">
        <is>
          <t>กลุ่มเป้าหมาย</t>
        </is>
      </c>
      <c r="G7" s="596" t="n"/>
      <c r="H7" s="205" t="inlineStr">
        <is>
          <t>ระยะเวลา</t>
        </is>
      </c>
      <c r="I7" s="596" t="n"/>
      <c r="J7" s="206" t="inlineStr">
        <is>
          <t>งบประมาณ
(บาท)</t>
        </is>
      </c>
      <c r="K7" s="205" t="inlineStr">
        <is>
          <t>จำนวนครั้ง</t>
        </is>
      </c>
      <c r="L7" s="620" t="inlineStr">
        <is>
          <t>พิจารณางบประมาณ
(บาท)</t>
        </is>
      </c>
      <c r="M7" s="207" t="inlineStr">
        <is>
          <t>กลุ่มเป้าหมาย</t>
        </is>
      </c>
      <c r="N7" s="596" t="n"/>
      <c r="O7" s="207" t="inlineStr">
        <is>
          <t>ระยะเวลา</t>
        </is>
      </c>
      <c r="P7" s="596" t="n"/>
      <c r="Q7" s="208" t="inlineStr">
        <is>
          <t>งบประมาณ
(บาท)</t>
        </is>
      </c>
      <c r="R7" s="207" t="inlineStr">
        <is>
          <t>จำนวนครั้ง</t>
        </is>
      </c>
      <c r="S7" s="621" t="inlineStr">
        <is>
          <t>ความเห็นจาก
ผู้ประสานงานงบประมาณ</t>
        </is>
      </c>
      <c r="T7" s="622" t="inlineStr">
        <is>
          <t>จัดสรรงบประมาณ
(บาท)</t>
        </is>
      </c>
      <c r="U7" s="209" t="inlineStr">
        <is>
          <t>กลุ่มเป้าหมาย</t>
        </is>
      </c>
      <c r="V7" s="596" t="n"/>
      <c r="W7" s="209" t="inlineStr">
        <is>
          <t>ระยะเวลา</t>
        </is>
      </c>
      <c r="X7" s="596" t="n"/>
      <c r="Y7" s="210" t="inlineStr">
        <is>
          <t>งบประมาณ
(บาท)</t>
        </is>
      </c>
      <c r="Z7" s="209" t="inlineStr">
        <is>
          <t>จำนวนครั้ง</t>
        </is>
      </c>
      <c r="AA7" s="623" t="inlineStr">
        <is>
          <t>ความเห็นจากคณะกรรมการ</t>
        </is>
      </c>
      <c r="AB7" s="624" t="inlineStr">
        <is>
          <t>แนบ Link เอกสารเพิ่มเติม</t>
        </is>
      </c>
      <c r="AC7" s="625" t="inlineStr">
        <is>
          <t>หมายเหตุ</t>
        </is>
      </c>
      <c r="AD7" s="626" t="inlineStr">
        <is>
          <t>งบประมาณ
2567</t>
        </is>
      </c>
      <c r="AE7" s="627" t="inlineStr">
        <is>
          <t>งบประมาณ
2568</t>
        </is>
      </c>
      <c r="AF7" s="627" t="inlineStr">
        <is>
          <t>งบประมาณ
2569</t>
        </is>
      </c>
      <c r="AG7" s="628" t="inlineStr">
        <is>
          <t>USE</t>
        </is>
      </c>
      <c r="AH7" s="628" t="inlineStr">
        <is>
          <t>ปรับแผน</t>
        </is>
      </c>
      <c r="AI7" s="203" t="n"/>
    </row>
    <row r="8">
      <c r="A8" s="629" t="n"/>
      <c r="B8" s="602" t="n"/>
      <c r="C8" s="602" t="n"/>
      <c r="D8" s="602" t="n"/>
      <c r="E8" s="602" t="n"/>
      <c r="F8" s="205" t="inlineStr">
        <is>
          <t>จำนวน</t>
        </is>
      </c>
      <c r="G8" s="206" t="inlineStr">
        <is>
          <t>หน่วย</t>
        </is>
      </c>
      <c r="H8" s="205" t="inlineStr">
        <is>
          <t>จำนวน</t>
        </is>
      </c>
      <c r="I8" s="206" t="inlineStr">
        <is>
          <t>หน่วย</t>
        </is>
      </c>
      <c r="J8" s="629" t="n"/>
      <c r="K8" s="629" t="n"/>
      <c r="L8" s="629" t="n"/>
      <c r="M8" s="207" t="inlineStr">
        <is>
          <t>จำนวน</t>
        </is>
      </c>
      <c r="N8" s="208" t="inlineStr">
        <is>
          <t>หน่วย</t>
        </is>
      </c>
      <c r="O8" s="207" t="inlineStr">
        <is>
          <t>จำนวน</t>
        </is>
      </c>
      <c r="P8" s="208" t="inlineStr">
        <is>
          <t>หน่วย</t>
        </is>
      </c>
      <c r="Q8" s="629" t="n"/>
      <c r="R8" s="629" t="n"/>
      <c r="S8" s="629" t="n"/>
      <c r="T8" s="602" t="n"/>
      <c r="U8" s="209" t="inlineStr">
        <is>
          <t>จำนวน</t>
        </is>
      </c>
      <c r="V8" s="210" t="inlineStr">
        <is>
          <t>หน่วย</t>
        </is>
      </c>
      <c r="W8" s="209" t="inlineStr">
        <is>
          <t>จำนวน</t>
        </is>
      </c>
      <c r="X8" s="210" t="inlineStr">
        <is>
          <t>หน่วย</t>
        </is>
      </c>
      <c r="Y8" s="629" t="n"/>
      <c r="Z8" s="629" t="n"/>
      <c r="AA8" s="629" t="n"/>
      <c r="AB8" s="629" t="n"/>
      <c r="AC8" s="629" t="n"/>
      <c r="AD8" s="629" t="n"/>
      <c r="AE8" s="602" t="n"/>
      <c r="AF8" s="602" t="n"/>
      <c r="AG8" s="629" t="n"/>
      <c r="AH8" s="629" t="n"/>
      <c r="AI8" s="203" t="n"/>
    </row>
    <row r="9" ht="19.5" customHeight="1" s="592">
      <c r="A9" s="211" t="n"/>
      <c r="B9" s="211" t="n"/>
      <c r="C9" s="213" t="n"/>
      <c r="D9" s="213" t="inlineStr">
        <is>
          <t>งบประมาณรวมทั้งสิ้น</t>
        </is>
      </c>
      <c r="E9" s="214">
        <f>SUM(E11,E32,E53,E74,E95,E116,E137,E158,E179,E200,E221,E242,E263,E284,E305,E326,E347,E368,E389,E410)</f>
        <v/>
      </c>
      <c r="F9" s="215" t="n"/>
      <c r="G9" s="214" t="n"/>
      <c r="H9" s="215" t="n"/>
      <c r="I9" s="214" t="n"/>
      <c r="J9" s="214" t="n"/>
      <c r="K9" s="215" t="n"/>
      <c r="L9" s="216">
        <f>SUM(L11,L32,L53,L74,L95,L116,L137,L158,L179,L200,L221,L242,L263,L284,L305,L326,L347,L368,L389,L410)</f>
        <v/>
      </c>
      <c r="M9" s="217" t="n"/>
      <c r="N9" s="216" t="n"/>
      <c r="O9" s="217" t="n"/>
      <c r="P9" s="216" t="n"/>
      <c r="Q9" s="216" t="n"/>
      <c r="R9" s="217" t="n"/>
      <c r="S9" s="216" t="n"/>
      <c r="T9" s="218">
        <f>SUM(T11,T32,T53,T74,T95,T116,T137,T158,T179,T200,T221,T242,T263,T284,T305,T326,T347,T368,T389,T410)</f>
        <v/>
      </c>
      <c r="U9" s="219" t="n"/>
      <c r="V9" s="220" t="n"/>
      <c r="W9" s="219" t="n"/>
      <c r="X9" s="220" t="n"/>
      <c r="Y9" s="220" t="n"/>
      <c r="Z9" s="219" t="n"/>
      <c r="AA9" s="220" t="n"/>
      <c r="AB9" s="221" t="n"/>
      <c r="AC9" s="222" t="n"/>
      <c r="AD9" s="224" t="n"/>
      <c r="AE9" s="224" t="n"/>
      <c r="AF9" s="224" t="n"/>
      <c r="AG9" s="224" t="n"/>
      <c r="AH9" s="224" t="n"/>
      <c r="AI9" s="225" t="n"/>
    </row>
    <row r="10" hidden="1" ht="15" customHeight="1" s="592">
      <c r="A10" s="226" t="n">
        <v>1</v>
      </c>
      <c r="B10" s="226" t="n">
        <v>1</v>
      </c>
      <c r="C10" s="227" t="n">
        <v>1</v>
      </c>
      <c r="D10" s="226" t="n">
        <v>1</v>
      </c>
      <c r="E10" s="226" t="n">
        <v>1</v>
      </c>
      <c r="F10" s="227" t="n">
        <v>1</v>
      </c>
      <c r="G10" s="226" t="n">
        <v>1</v>
      </c>
      <c r="H10" s="226" t="n">
        <v>1</v>
      </c>
      <c r="I10" s="227" t="n">
        <v>1</v>
      </c>
      <c r="J10" s="226" t="n">
        <v>1</v>
      </c>
      <c r="K10" s="226" t="n">
        <v>1</v>
      </c>
      <c r="L10" s="227" t="n">
        <v>1</v>
      </c>
      <c r="M10" s="226" t="n">
        <v>1</v>
      </c>
      <c r="N10" s="226" t="n">
        <v>1</v>
      </c>
      <c r="O10" s="227" t="n">
        <v>1</v>
      </c>
      <c r="P10" s="226" t="n">
        <v>1</v>
      </c>
      <c r="Q10" s="226" t="n">
        <v>1</v>
      </c>
      <c r="R10" s="227" t="n">
        <v>1</v>
      </c>
      <c r="S10" s="226" t="n">
        <v>1</v>
      </c>
      <c r="T10" s="226" t="n">
        <v>1</v>
      </c>
      <c r="U10" s="227" t="n">
        <v>1</v>
      </c>
      <c r="V10" s="226" t="n">
        <v>1</v>
      </c>
      <c r="W10" s="226" t="n">
        <v>1</v>
      </c>
      <c r="X10" s="227" t="n">
        <v>1</v>
      </c>
      <c r="Y10" s="226" t="n">
        <v>1</v>
      </c>
      <c r="Z10" s="226" t="n">
        <v>1</v>
      </c>
      <c r="AA10" s="227" t="n">
        <v>1</v>
      </c>
      <c r="AB10" s="226" t="n">
        <v>1</v>
      </c>
      <c r="AC10" s="226" t="n">
        <v>1</v>
      </c>
      <c r="AD10" s="227" t="n">
        <v>1</v>
      </c>
      <c r="AE10" s="226" t="n">
        <v>1</v>
      </c>
      <c r="AF10" s="226" t="n">
        <v>1</v>
      </c>
      <c r="AG10" s="227" t="n">
        <v>1</v>
      </c>
      <c r="AH10" s="226" t="n">
        <v>1</v>
      </c>
      <c r="AI10" s="228" t="n"/>
    </row>
    <row r="11">
      <c r="A11" s="257" t="n">
        <v>1</v>
      </c>
      <c r="B11" s="230">
        <f>IFERROR(__xludf.DUMMYFUNCTION("VLOOKUP(C11,IMPORTRANGE(REF!$B$3,""FP!B:C""),2,0)"),"#N/A")</f>
        <v/>
      </c>
      <c r="C11" s="237" t="inlineStr">
        <is>
          <t>กิจกรรมสร้างเครือข่ายระบบนิเวศนวัตกรรม กรุงเทพฯ</t>
        </is>
      </c>
      <c r="D11" s="232" t="n"/>
      <c r="E11" s="233" t="n">
        <v>355000</v>
      </c>
      <c r="F11" s="234" t="n"/>
      <c r="G11" s="235" t="n"/>
      <c r="H11" s="234" t="n"/>
      <c r="I11" s="235" t="n"/>
      <c r="J11" s="233" t="n"/>
      <c r="K11" s="236" t="n"/>
      <c r="L11" s="233">
        <f>SUM(L12:L31)</f>
        <v/>
      </c>
      <c r="M11" s="234" t="n"/>
      <c r="N11" s="235" t="n"/>
      <c r="O11" s="234" t="n"/>
      <c r="P11" s="235" t="n"/>
      <c r="Q11" s="233" t="n"/>
      <c r="R11" s="236" t="n"/>
      <c r="S11" s="235" t="n"/>
      <c r="T11" s="233">
        <f>SUM(T12:T31)</f>
        <v/>
      </c>
      <c r="U11" s="234" t="n"/>
      <c r="V11" s="235" t="n"/>
      <c r="W11" s="234" t="n"/>
      <c r="X11" s="235" t="n"/>
      <c r="Y11" s="233" t="n"/>
      <c r="Z11" s="236" t="n"/>
      <c r="AA11" s="235" t="n"/>
      <c r="AB11" s="237" t="n"/>
      <c r="AC11" s="237" t="n"/>
      <c r="AD11" s="237" t="n"/>
      <c r="AE11" s="237" t="n"/>
      <c r="AF11" s="237" t="n"/>
      <c r="AG11" s="238" t="b">
        <v>0</v>
      </c>
      <c r="AH11" s="239" t="n"/>
      <c r="AI11" s="253" t="n"/>
    </row>
    <row r="12" outlineLevel="1" s="592">
      <c r="A12" s="241">
        <f>$A11&amp;"."&amp;1</f>
        <v/>
      </c>
      <c r="B12" s="241" t="n"/>
      <c r="C12" s="255" t="inlineStr">
        <is>
          <t>กิจกรรมสร้างเครือข่ายระบบนิเวศนวัตกรรม กรุงเทพฯ</t>
        </is>
      </c>
      <c r="D12" s="243" t="inlineStr">
        <is>
          <t>ค่ายานพาหนะเครื่องบินผู้บริหาร</t>
        </is>
      </c>
      <c r="E12" s="244" t="n">
        <v>11000</v>
      </c>
      <c r="F12" s="245" t="n">
        <v>2</v>
      </c>
      <c r="G12" s="243" t="inlineStr">
        <is>
          <t>คน</t>
        </is>
      </c>
      <c r="H12" s="245" t="n">
        <v>1</v>
      </c>
      <c r="I12" s="243" t="inlineStr">
        <is>
          <t>ครั้ง</t>
        </is>
      </c>
      <c r="J12" s="246" t="n">
        <v>5500</v>
      </c>
      <c r="K12" s="247" t="n"/>
      <c r="L12" s="248">
        <f>ROUNDUP(IF(Q12=0,0,Q12)*IF(R12&gt;0,R12,1)*IF(M12&gt;0,M12,1)*IF(O12&gt;0,O12,1),0)</f>
        <v/>
      </c>
      <c r="M12" s="245">
        <f>F12</f>
        <v/>
      </c>
      <c r="N12" s="243">
        <f>G12</f>
        <v/>
      </c>
      <c r="O12" s="245">
        <f>H12</f>
        <v/>
      </c>
      <c r="P12" s="243">
        <f>I12</f>
        <v/>
      </c>
      <c r="Q12" s="246">
        <f>J12</f>
        <v/>
      </c>
      <c r="R12" s="247">
        <f>K12</f>
        <v/>
      </c>
      <c r="S12" s="243" t="n"/>
      <c r="T12" s="249">
        <f>ROUNDUP(IF(Y12=0,0,Y12)*IF(Z12&gt;0,Z12,1)*IF(U12&gt;0,U12,1)*IF(W12&gt;0,W12,1),0)</f>
        <v/>
      </c>
      <c r="U12" s="245">
        <f>M12</f>
        <v/>
      </c>
      <c r="V12" s="243">
        <f>N12</f>
        <v/>
      </c>
      <c r="W12" s="245">
        <f>O12</f>
        <v/>
      </c>
      <c r="X12" s="243">
        <f>P12</f>
        <v/>
      </c>
      <c r="Y12" s="246">
        <f>Q12</f>
        <v/>
      </c>
      <c r="Z12" s="247">
        <f>R12</f>
        <v/>
      </c>
      <c r="AA12" s="243" t="n"/>
      <c r="AB12" s="254" t="n"/>
      <c r="AC12" s="254" t="n"/>
      <c r="AD12" s="254" t="n"/>
      <c r="AE12" s="254" t="n"/>
      <c r="AF12" s="254" t="n"/>
      <c r="AG12" s="255" t="n"/>
      <c r="AH12" s="256" t="n"/>
      <c r="AI12" s="253" t="n"/>
    </row>
    <row r="13" outlineLevel="1" s="592">
      <c r="A13" s="241">
        <f>$A11&amp;"."&amp;2</f>
        <v/>
      </c>
      <c r="B13" s="241" t="n"/>
      <c r="C13" s="255" t="inlineStr">
        <is>
          <t>กิจกรรมสร้างเครือข่ายระบบนิเวศนวัตกรรม กรุงเทพฯ</t>
        </is>
      </c>
      <c r="D13" s="243" t="inlineStr">
        <is>
          <t>ค่ายานพาหนะเครื่องบินอาจารย์</t>
        </is>
      </c>
      <c r="E13" s="244" t="n">
        <v>132000</v>
      </c>
      <c r="F13" s="245" t="n">
        <v>24</v>
      </c>
      <c r="G13" s="243" t="inlineStr">
        <is>
          <t>คน</t>
        </is>
      </c>
      <c r="H13" s="245" t="n">
        <v>1</v>
      </c>
      <c r="I13" s="243" t="inlineStr">
        <is>
          <t>ครั้ง</t>
        </is>
      </c>
      <c r="J13" s="246" t="n">
        <v>5500</v>
      </c>
      <c r="K13" s="247" t="n"/>
      <c r="L13" s="248">
        <f>ROUNDUP(IF(Q13=0,0,Q13)*IF(R13&gt;0,R13,1)*IF(M13&gt;0,M13,1)*IF(O13&gt;0,O13,1),0)</f>
        <v/>
      </c>
      <c r="M13" s="245">
        <f>F13</f>
        <v/>
      </c>
      <c r="N13" s="243">
        <f>G13</f>
        <v/>
      </c>
      <c r="O13" s="245">
        <f>H13</f>
        <v/>
      </c>
      <c r="P13" s="243">
        <f>I13</f>
        <v/>
      </c>
      <c r="Q13" s="246">
        <f>J13</f>
        <v/>
      </c>
      <c r="R13" s="247">
        <f>K13</f>
        <v/>
      </c>
      <c r="S13" s="243" t="n"/>
      <c r="T13" s="249">
        <f>ROUNDUP(IF(Y13=0,0,Y13)*IF(Z13&gt;0,Z13,1)*IF(U13&gt;0,U13,1)*IF(W13&gt;0,W13,1),0)</f>
        <v/>
      </c>
      <c r="U13" s="245">
        <f>M13</f>
        <v/>
      </c>
      <c r="V13" s="243">
        <f>N13</f>
        <v/>
      </c>
      <c r="W13" s="245">
        <f>O13</f>
        <v/>
      </c>
      <c r="X13" s="243">
        <f>P13</f>
        <v/>
      </c>
      <c r="Y13" s="246">
        <f>Q13</f>
        <v/>
      </c>
      <c r="Z13" s="247">
        <f>R13</f>
        <v/>
      </c>
      <c r="AA13" s="243" t="n"/>
      <c r="AB13" s="254" t="n"/>
      <c r="AC13" s="254" t="n"/>
      <c r="AD13" s="254" t="n"/>
      <c r="AE13" s="254" t="n"/>
      <c r="AF13" s="254" t="n"/>
      <c r="AG13" s="255" t="n"/>
      <c r="AH13" s="256" t="n"/>
      <c r="AI13" s="253" t="n"/>
    </row>
    <row r="14" outlineLevel="1" s="592">
      <c r="A14" s="241">
        <f>$A11&amp;"."&amp;3</f>
        <v/>
      </c>
      <c r="B14" s="241" t="n"/>
      <c r="C14" s="255" t="inlineStr">
        <is>
          <t>กิจกรรมสร้างเครือข่ายระบบนิเวศนวัตกรรม กรุงเทพฯ</t>
        </is>
      </c>
      <c r="D14" s="243" t="inlineStr">
        <is>
          <t>ค่ายานพาหนะเครื่องบินพนักงาน</t>
        </is>
      </c>
      <c r="E14" s="244" t="n">
        <v>8000</v>
      </c>
      <c r="F14" s="245" t="n">
        <v>2</v>
      </c>
      <c r="G14" s="243" t="inlineStr">
        <is>
          <t>คน</t>
        </is>
      </c>
      <c r="H14" s="245" t="n">
        <v>1</v>
      </c>
      <c r="I14" s="243" t="inlineStr">
        <is>
          <t>ครั้ง</t>
        </is>
      </c>
      <c r="J14" s="246" t="n">
        <v>4000</v>
      </c>
      <c r="K14" s="247" t="n"/>
      <c r="L14" s="248">
        <f>ROUNDUP(IF(Q14=0,0,Q14)*IF(R14&gt;0,R14,1)*IF(M14&gt;0,M14,1)*IF(O14&gt;0,O14,1),0)</f>
        <v/>
      </c>
      <c r="M14" s="245">
        <f>F14</f>
        <v/>
      </c>
      <c r="N14" s="243">
        <f>G14</f>
        <v/>
      </c>
      <c r="O14" s="245">
        <f>H14</f>
        <v/>
      </c>
      <c r="P14" s="243">
        <f>I14</f>
        <v/>
      </c>
      <c r="Q14" s="246">
        <f>J14</f>
        <v/>
      </c>
      <c r="R14" s="247">
        <f>K14</f>
        <v/>
      </c>
      <c r="S14" s="243" t="n"/>
      <c r="T14" s="249">
        <f>ROUNDUP(IF(Y14=0,0,Y14)*IF(Z14&gt;0,Z14,1)*IF(U14&gt;0,U14,1)*IF(W14&gt;0,W14,1),0)</f>
        <v/>
      </c>
      <c r="U14" s="245">
        <f>M14</f>
        <v/>
      </c>
      <c r="V14" s="243">
        <f>N14</f>
        <v/>
      </c>
      <c r="W14" s="245">
        <f>O14</f>
        <v/>
      </c>
      <c r="X14" s="243">
        <f>P14</f>
        <v/>
      </c>
      <c r="Y14" s="246">
        <f>Q14</f>
        <v/>
      </c>
      <c r="Z14" s="247">
        <f>R14</f>
        <v/>
      </c>
      <c r="AA14" s="243" t="n"/>
      <c r="AB14" s="254" t="n"/>
      <c r="AC14" s="254" t="n"/>
      <c r="AD14" s="254" t="n"/>
      <c r="AE14" s="254" t="n"/>
      <c r="AF14" s="254" t="n"/>
      <c r="AG14" s="255" t="n"/>
      <c r="AH14" s="256" t="n"/>
      <c r="AI14" s="253" t="n"/>
    </row>
    <row r="15" outlineLevel="1" s="592">
      <c r="A15" s="241">
        <f>$A11&amp;"."&amp;4</f>
        <v/>
      </c>
      <c r="B15" s="241" t="n"/>
      <c r="C15" s="255" t="inlineStr">
        <is>
          <t>กิจกรรมสร้างเครือข่ายระบบนิเวศนวัตกรรม กรุงเทพฯ</t>
        </is>
      </c>
      <c r="D15" s="243" t="inlineStr">
        <is>
          <t>ค่าที่พักผู้บริหาร</t>
        </is>
      </c>
      <c r="E15" s="244" t="n">
        <v>9600</v>
      </c>
      <c r="F15" s="245" t="n">
        <v>2</v>
      </c>
      <c r="G15" s="243" t="inlineStr">
        <is>
          <t>คน</t>
        </is>
      </c>
      <c r="H15" s="245" t="n">
        <v>3</v>
      </c>
      <c r="I15" s="243" t="inlineStr">
        <is>
          <t>คืน</t>
        </is>
      </c>
      <c r="J15" s="246" t="n">
        <v>1600</v>
      </c>
      <c r="K15" s="247" t="n"/>
      <c r="L15" s="248">
        <f>ROUNDUP(IF(Q15=0,0,Q15)*IF(R15&gt;0,R15,1)*IF(M15&gt;0,M15,1)*IF(O15&gt;0,O15,1),0)</f>
        <v/>
      </c>
      <c r="M15" s="245">
        <f>F15</f>
        <v/>
      </c>
      <c r="N15" s="243">
        <f>G15</f>
        <v/>
      </c>
      <c r="O15" s="245">
        <f>H15</f>
        <v/>
      </c>
      <c r="P15" s="243">
        <f>I15</f>
        <v/>
      </c>
      <c r="Q15" s="246">
        <f>J15</f>
        <v/>
      </c>
      <c r="R15" s="247">
        <f>K15</f>
        <v/>
      </c>
      <c r="S15" s="243" t="n"/>
      <c r="T15" s="249">
        <f>ROUNDUP(IF(Y15=0,0,Y15)*IF(Z15&gt;0,Z15,1)*IF(U15&gt;0,U15,1)*IF(W15&gt;0,W15,1),0)</f>
        <v/>
      </c>
      <c r="U15" s="245">
        <f>M15</f>
        <v/>
      </c>
      <c r="V15" s="243">
        <f>N15</f>
        <v/>
      </c>
      <c r="W15" s="245">
        <f>O15</f>
        <v/>
      </c>
      <c r="X15" s="243">
        <f>P15</f>
        <v/>
      </c>
      <c r="Y15" s="246">
        <f>Q15</f>
        <v/>
      </c>
      <c r="Z15" s="247">
        <f>R15</f>
        <v/>
      </c>
      <c r="AA15" s="243" t="n"/>
      <c r="AB15" s="254" t="n"/>
      <c r="AC15" s="254" t="n"/>
      <c r="AD15" s="254" t="n"/>
      <c r="AE15" s="254" t="n"/>
      <c r="AF15" s="254" t="n"/>
      <c r="AG15" s="255" t="n"/>
      <c r="AH15" s="256" t="n"/>
      <c r="AI15" s="253" t="n"/>
    </row>
    <row r="16" outlineLevel="1" s="592">
      <c r="A16" s="241">
        <f>$A11&amp;"."&amp;5</f>
        <v/>
      </c>
      <c r="B16" s="241" t="n"/>
      <c r="C16" s="255" t="inlineStr">
        <is>
          <t>กิจกรรมสร้างเครือข่ายระบบนิเวศนวัตกรรม กรุงเทพฯ</t>
        </is>
      </c>
      <c r="D16" s="243" t="inlineStr">
        <is>
          <t>ค่าที่พักอาจารย์</t>
        </is>
      </c>
      <c r="E16" s="244" t="n">
        <v>115200</v>
      </c>
      <c r="F16" s="245" t="n">
        <v>24</v>
      </c>
      <c r="G16" s="243" t="inlineStr">
        <is>
          <t>คน</t>
        </is>
      </c>
      <c r="H16" s="245" t="n">
        <v>3</v>
      </c>
      <c r="I16" s="243" t="inlineStr">
        <is>
          <t>คืน</t>
        </is>
      </c>
      <c r="J16" s="246" t="n">
        <v>1600</v>
      </c>
      <c r="K16" s="247" t="n"/>
      <c r="L16" s="248">
        <f>ROUNDUP(IF(Q16=0,0,Q16)*IF(R16&gt;0,R16,1)*IF(M16&gt;0,M16,1)*IF(O16&gt;0,O16,1),0)</f>
        <v/>
      </c>
      <c r="M16" s="245">
        <f>F16</f>
        <v/>
      </c>
      <c r="N16" s="243">
        <f>G16</f>
        <v/>
      </c>
      <c r="O16" s="245">
        <f>H16</f>
        <v/>
      </c>
      <c r="P16" s="243">
        <f>I16</f>
        <v/>
      </c>
      <c r="Q16" s="246">
        <f>J16</f>
        <v/>
      </c>
      <c r="R16" s="247">
        <f>K16</f>
        <v/>
      </c>
      <c r="S16" s="243" t="n"/>
      <c r="T16" s="249">
        <f>ROUNDUP(IF(Y16=0,0,Y16)*IF(Z16&gt;0,Z16,1)*IF(U16&gt;0,U16,1)*IF(W16&gt;0,W16,1),0)</f>
        <v/>
      </c>
      <c r="U16" s="245">
        <f>M16</f>
        <v/>
      </c>
      <c r="V16" s="243">
        <f>N16</f>
        <v/>
      </c>
      <c r="W16" s="245">
        <f>O16</f>
        <v/>
      </c>
      <c r="X16" s="243">
        <f>P16</f>
        <v/>
      </c>
      <c r="Y16" s="246">
        <f>Q16</f>
        <v/>
      </c>
      <c r="Z16" s="247">
        <f>R16</f>
        <v/>
      </c>
      <c r="AA16" s="243" t="n"/>
      <c r="AB16" s="254" t="n"/>
      <c r="AC16" s="254" t="n"/>
      <c r="AD16" s="254" t="n"/>
      <c r="AE16" s="254" t="n"/>
      <c r="AF16" s="254" t="n"/>
      <c r="AG16" s="255" t="n"/>
      <c r="AH16" s="256" t="n"/>
      <c r="AI16" s="253" t="n"/>
    </row>
    <row r="17" outlineLevel="1" s="592">
      <c r="A17" s="241">
        <f>$A11&amp;"."&amp;6</f>
        <v/>
      </c>
      <c r="B17" s="241" t="n"/>
      <c r="C17" s="255" t="inlineStr">
        <is>
          <t>กิจกรรมสร้างเครือข่ายระบบนิเวศนวัตกรรม กรุงเทพฯ</t>
        </is>
      </c>
      <c r="D17" s="243" t="inlineStr">
        <is>
          <t>ค่าที่พักพนักงาน</t>
        </is>
      </c>
      <c r="E17" s="244" t="n">
        <v>8400</v>
      </c>
      <c r="F17" s="245" t="n">
        <v>2</v>
      </c>
      <c r="G17" s="243" t="inlineStr">
        <is>
          <t>คน</t>
        </is>
      </c>
      <c r="H17" s="245" t="n">
        <v>3</v>
      </c>
      <c r="I17" s="243" t="inlineStr">
        <is>
          <t>คืน</t>
        </is>
      </c>
      <c r="J17" s="246" t="n">
        <v>1400</v>
      </c>
      <c r="K17" s="247" t="n"/>
      <c r="L17" s="248">
        <f>ROUNDUP(IF(Q17=0,0,Q17)*IF(R17&gt;0,R17,1)*IF(M17&gt;0,M17,1)*IF(O17&gt;0,O17,1),0)</f>
        <v/>
      </c>
      <c r="M17" s="245">
        <f>F17</f>
        <v/>
      </c>
      <c r="N17" s="243">
        <f>G17</f>
        <v/>
      </c>
      <c r="O17" s="245">
        <f>H17</f>
        <v/>
      </c>
      <c r="P17" s="243">
        <f>I17</f>
        <v/>
      </c>
      <c r="Q17" s="246">
        <f>J17</f>
        <v/>
      </c>
      <c r="R17" s="247">
        <f>K17</f>
        <v/>
      </c>
      <c r="S17" s="243" t="n"/>
      <c r="T17" s="249">
        <f>ROUNDUP(IF(Y17=0,0,Y17)*IF(Z17&gt;0,Z17,1)*IF(U17&gt;0,U17,1)*IF(W17&gt;0,W17,1),0)</f>
        <v/>
      </c>
      <c r="U17" s="245">
        <f>M17</f>
        <v/>
      </c>
      <c r="V17" s="243">
        <f>N17</f>
        <v/>
      </c>
      <c r="W17" s="245">
        <f>O17</f>
        <v/>
      </c>
      <c r="X17" s="243">
        <f>P17</f>
        <v/>
      </c>
      <c r="Y17" s="246">
        <f>Q17</f>
        <v/>
      </c>
      <c r="Z17" s="247">
        <f>R17</f>
        <v/>
      </c>
      <c r="AA17" s="243" t="n"/>
      <c r="AB17" s="254" t="n"/>
      <c r="AC17" s="254" t="n"/>
      <c r="AD17" s="254" t="n"/>
      <c r="AE17" s="254" t="n"/>
      <c r="AF17" s="254" t="n"/>
      <c r="AG17" s="255" t="n"/>
      <c r="AH17" s="256" t="n"/>
      <c r="AI17" s="253" t="n"/>
    </row>
    <row r="18" outlineLevel="1" s="592">
      <c r="A18" s="241">
        <f>$A11&amp;"."&amp;7</f>
        <v/>
      </c>
      <c r="B18" s="241" t="n"/>
      <c r="C18" s="255" t="inlineStr">
        <is>
          <t>กิจกรรมสร้างเครือข่ายระบบนิเวศนวัตกรรม กรุงเทพฯ</t>
        </is>
      </c>
      <c r="D18" s="243" t="inlineStr">
        <is>
          <t>ค่าเบี้ยเลี้ยงผู้บริหาร</t>
        </is>
      </c>
      <c r="E18" s="244" t="n">
        <v>2100</v>
      </c>
      <c r="F18" s="245" t="n">
        <v>2</v>
      </c>
      <c r="G18" s="243" t="inlineStr">
        <is>
          <t>คน</t>
        </is>
      </c>
      <c r="H18" s="245" t="n">
        <v>3</v>
      </c>
      <c r="I18" s="243" t="inlineStr">
        <is>
          <t>วัน</t>
        </is>
      </c>
      <c r="J18" s="246" t="n">
        <v>350</v>
      </c>
      <c r="K18" s="247" t="n"/>
      <c r="L18" s="248">
        <f>ROUNDUP(IF(Q18=0,0,Q18)*IF(R18&gt;0,R18,1)*IF(M18&gt;0,M18,1)*IF(O18&gt;0,O18,1),0)</f>
        <v/>
      </c>
      <c r="M18" s="245">
        <f>F18</f>
        <v/>
      </c>
      <c r="N18" s="243">
        <f>G18</f>
        <v/>
      </c>
      <c r="O18" s="245">
        <f>H18</f>
        <v/>
      </c>
      <c r="P18" s="243">
        <f>I18</f>
        <v/>
      </c>
      <c r="Q18" s="246">
        <f>J18</f>
        <v/>
      </c>
      <c r="R18" s="247">
        <f>K18</f>
        <v/>
      </c>
      <c r="S18" s="243" t="n"/>
      <c r="T18" s="249">
        <f>ROUNDUP(IF(Y18=0,0,Y18)*IF(Z18&gt;0,Z18,1)*IF(U18&gt;0,U18,1)*IF(W18&gt;0,W18,1),0)</f>
        <v/>
      </c>
      <c r="U18" s="245">
        <f>M18</f>
        <v/>
      </c>
      <c r="V18" s="243">
        <f>N18</f>
        <v/>
      </c>
      <c r="W18" s="245">
        <f>O18</f>
        <v/>
      </c>
      <c r="X18" s="243">
        <f>P18</f>
        <v/>
      </c>
      <c r="Y18" s="246">
        <f>Q18</f>
        <v/>
      </c>
      <c r="Z18" s="247">
        <f>R18</f>
        <v/>
      </c>
      <c r="AA18" s="243" t="n"/>
      <c r="AB18" s="254" t="n"/>
      <c r="AC18" s="254" t="n"/>
      <c r="AD18" s="254" t="n"/>
      <c r="AE18" s="254" t="n"/>
      <c r="AF18" s="254" t="n"/>
      <c r="AG18" s="255" t="n"/>
      <c r="AH18" s="256" t="n"/>
      <c r="AI18" s="253" t="n"/>
    </row>
    <row r="19" outlineLevel="1" s="592">
      <c r="A19" s="241">
        <f>$A11&amp;"."&amp;8</f>
        <v/>
      </c>
      <c r="B19" s="241" t="n"/>
      <c r="C19" s="255" t="inlineStr">
        <is>
          <t>กิจกรรมสร้างเครือข่ายระบบนิเวศนวัตกรรม กรุงเทพฯ</t>
        </is>
      </c>
      <c r="D19" s="243" t="inlineStr">
        <is>
          <t>ค่าเบี้ยเลี้ยงอาจารย์</t>
        </is>
      </c>
      <c r="E19" s="244" t="n">
        <v>25200</v>
      </c>
      <c r="F19" s="245" t="n">
        <v>24</v>
      </c>
      <c r="G19" s="243" t="inlineStr">
        <is>
          <t>คน</t>
        </is>
      </c>
      <c r="H19" s="245" t="n">
        <v>3</v>
      </c>
      <c r="I19" s="243" t="inlineStr">
        <is>
          <t>วัน</t>
        </is>
      </c>
      <c r="J19" s="246" t="n">
        <v>350</v>
      </c>
      <c r="K19" s="247" t="n"/>
      <c r="L19" s="248">
        <f>ROUNDUP(IF(Q19=0,0,Q19)*IF(R19&gt;0,R19,1)*IF(M19&gt;0,M19,1)*IF(O19&gt;0,O19,1),0)</f>
        <v/>
      </c>
      <c r="M19" s="245">
        <f>F19</f>
        <v/>
      </c>
      <c r="N19" s="243">
        <f>G19</f>
        <v/>
      </c>
      <c r="O19" s="245">
        <f>H19</f>
        <v/>
      </c>
      <c r="P19" s="243">
        <f>I19</f>
        <v/>
      </c>
      <c r="Q19" s="246">
        <f>J19</f>
        <v/>
      </c>
      <c r="R19" s="247">
        <f>K19</f>
        <v/>
      </c>
      <c r="S19" s="243" t="n"/>
      <c r="T19" s="249">
        <f>ROUNDUP(IF(Y19=0,0,Y19)*IF(Z19&gt;0,Z19,1)*IF(U19&gt;0,U19,1)*IF(W19&gt;0,W19,1),0)</f>
        <v/>
      </c>
      <c r="U19" s="245">
        <f>M19</f>
        <v/>
      </c>
      <c r="V19" s="243">
        <f>N19</f>
        <v/>
      </c>
      <c r="W19" s="245">
        <f>O19</f>
        <v/>
      </c>
      <c r="X19" s="243">
        <f>P19</f>
        <v/>
      </c>
      <c r="Y19" s="246">
        <f>Q19</f>
        <v/>
      </c>
      <c r="Z19" s="247">
        <f>R19</f>
        <v/>
      </c>
      <c r="AA19" s="243" t="n"/>
      <c r="AB19" s="254" t="n"/>
      <c r="AC19" s="254" t="n"/>
      <c r="AD19" s="254" t="n"/>
      <c r="AE19" s="254" t="n"/>
      <c r="AF19" s="254" t="n"/>
      <c r="AG19" s="255" t="n"/>
      <c r="AH19" s="256" t="n"/>
      <c r="AI19" s="253" t="n"/>
    </row>
    <row r="20" outlineLevel="1" s="592">
      <c r="A20" s="241">
        <f>$A11&amp;"."&amp;9</f>
        <v/>
      </c>
      <c r="B20" s="241" t="n"/>
      <c r="C20" s="255" t="inlineStr">
        <is>
          <t>กิจกรรมสร้างเครือข่ายระบบนิเวศนวัตกรรม กรุงเทพฯ</t>
        </is>
      </c>
      <c r="D20" s="243" t="inlineStr">
        <is>
          <t>ค่าเบี้ยเลี้ยงพนักงาน</t>
        </is>
      </c>
      <c r="E20" s="244" t="n">
        <v>1500</v>
      </c>
      <c r="F20" s="245" t="n">
        <v>2</v>
      </c>
      <c r="G20" s="243" t="inlineStr">
        <is>
          <t>คน</t>
        </is>
      </c>
      <c r="H20" s="245" t="n">
        <v>3</v>
      </c>
      <c r="I20" s="243" t="inlineStr">
        <is>
          <t>วัน</t>
        </is>
      </c>
      <c r="J20" s="246" t="n">
        <v>250</v>
      </c>
      <c r="K20" s="247" t="n"/>
      <c r="L20" s="248">
        <f>ROUNDUP(IF(Q20=0,0,Q20)*IF(R20&gt;0,R20,1)*IF(M20&gt;0,M20,1)*IF(O20&gt;0,O20,1),0)</f>
        <v/>
      </c>
      <c r="M20" s="245">
        <f>F20</f>
        <v/>
      </c>
      <c r="N20" s="243">
        <f>G20</f>
        <v/>
      </c>
      <c r="O20" s="245">
        <f>H20</f>
        <v/>
      </c>
      <c r="P20" s="243">
        <f>I20</f>
        <v/>
      </c>
      <c r="Q20" s="246">
        <f>J20</f>
        <v/>
      </c>
      <c r="R20" s="247">
        <f>K20</f>
        <v/>
      </c>
      <c r="S20" s="243" t="n"/>
      <c r="T20" s="249">
        <f>ROUNDUP(IF(Y20=0,0,Y20)*IF(Z20&gt;0,Z20,1)*IF(U20&gt;0,U20,1)*IF(W20&gt;0,W20,1),0)</f>
        <v/>
      </c>
      <c r="U20" s="245">
        <f>M20</f>
        <v/>
      </c>
      <c r="V20" s="243">
        <f>N20</f>
        <v/>
      </c>
      <c r="W20" s="245">
        <f>O20</f>
        <v/>
      </c>
      <c r="X20" s="243">
        <f>P20</f>
        <v/>
      </c>
      <c r="Y20" s="246">
        <f>Q20</f>
        <v/>
      </c>
      <c r="Z20" s="247">
        <f>R20</f>
        <v/>
      </c>
      <c r="AA20" s="243" t="n"/>
      <c r="AB20" s="254" t="n"/>
      <c r="AC20" s="254" t="n"/>
      <c r="AD20" s="254" t="n"/>
      <c r="AE20" s="254" t="n"/>
      <c r="AF20" s="254" t="n"/>
      <c r="AG20" s="255" t="n"/>
      <c r="AH20" s="256" t="n"/>
      <c r="AI20" s="253" t="n"/>
    </row>
    <row r="21" outlineLevel="1" s="592">
      <c r="A21" s="241">
        <f>$A11&amp;"."&amp;10</f>
        <v/>
      </c>
      <c r="B21" s="241" t="n"/>
      <c r="C21" s="255" t="inlineStr">
        <is>
          <t>กิจกรรมสร้างเครือข่ายระบบนิเวศนวัตกรรม กรุงเทพฯ</t>
        </is>
      </c>
      <c r="D21" s="243" t="inlineStr">
        <is>
          <t>ค่าเช่าเหมาบริการ-ยานพาหนะ</t>
        </is>
      </c>
      <c r="E21" s="244" t="n">
        <v>24000</v>
      </c>
      <c r="F21" s="245" t="n">
        <v>3</v>
      </c>
      <c r="G21" s="243" t="inlineStr">
        <is>
          <t>คัน</t>
        </is>
      </c>
      <c r="H21" s="245" t="n">
        <v>4</v>
      </c>
      <c r="I21" s="243" t="inlineStr">
        <is>
          <t>วัน</t>
        </is>
      </c>
      <c r="J21" s="246" t="n">
        <v>2000</v>
      </c>
      <c r="K21" s="247" t="n"/>
      <c r="L21" s="248">
        <f>ROUNDUP(IF(Q21=0,0,Q21)*IF(R21&gt;0,R21,1)*IF(M21&gt;0,M21,1)*IF(O21&gt;0,O21,1),0)</f>
        <v/>
      </c>
      <c r="M21" s="245">
        <f>F21</f>
        <v/>
      </c>
      <c r="N21" s="243">
        <f>G21</f>
        <v/>
      </c>
      <c r="O21" s="245">
        <f>H21</f>
        <v/>
      </c>
      <c r="P21" s="243">
        <f>I21</f>
        <v/>
      </c>
      <c r="Q21" s="246">
        <f>J21</f>
        <v/>
      </c>
      <c r="R21" s="247">
        <f>K21</f>
        <v/>
      </c>
      <c r="S21" s="243" t="n"/>
      <c r="T21" s="249">
        <f>ROUNDUP(IF(Y21=0,0,Y21)*IF(Z21&gt;0,Z21,1)*IF(U21&gt;0,U21,1)*IF(W21&gt;0,W21,1),0)</f>
        <v/>
      </c>
      <c r="U21" s="245">
        <f>M21</f>
        <v/>
      </c>
      <c r="V21" s="243">
        <f>N21</f>
        <v/>
      </c>
      <c r="W21" s="245">
        <f>O21</f>
        <v/>
      </c>
      <c r="X21" s="243">
        <f>P21</f>
        <v/>
      </c>
      <c r="Y21" s="246">
        <f>Q21</f>
        <v/>
      </c>
      <c r="Z21" s="247">
        <f>R21</f>
        <v/>
      </c>
      <c r="AA21" s="243" t="n"/>
      <c r="AB21" s="254" t="n"/>
      <c r="AC21" s="254" t="n"/>
      <c r="AD21" s="254" t="n"/>
      <c r="AE21" s="254" t="n"/>
      <c r="AF21" s="254" t="n"/>
      <c r="AG21" s="255" t="n"/>
      <c r="AH21" s="256" t="n"/>
      <c r="AI21" s="253" t="n"/>
    </row>
    <row r="22" outlineLevel="1" s="592">
      <c r="A22" s="241">
        <f>$A11&amp;"."&amp;11</f>
        <v/>
      </c>
      <c r="B22" s="241" t="n"/>
      <c r="C22" s="255" t="inlineStr">
        <is>
          <t>กิจกรรมสร้างเครือข่ายระบบนิเวศนวัตกรรม กรุงเทพฯ</t>
        </is>
      </c>
      <c r="D22" s="243" t="inlineStr">
        <is>
          <t>ค่าวัสดุเชื้อเพลิงและหล่อลื่น</t>
        </is>
      </c>
      <c r="E22" s="244" t="n">
        <v>18000</v>
      </c>
      <c r="F22" s="245" t="n">
        <v>3</v>
      </c>
      <c r="G22" s="243" t="inlineStr">
        <is>
          <t>คัน</t>
        </is>
      </c>
      <c r="H22" s="245" t="n">
        <v>4</v>
      </c>
      <c r="I22" s="243" t="inlineStr">
        <is>
          <t>วัน</t>
        </is>
      </c>
      <c r="J22" s="246" t="n">
        <v>1500</v>
      </c>
      <c r="K22" s="247" t="n"/>
      <c r="L22" s="248">
        <f>ROUNDUP(IF(Q22=0,0,Q22)*IF(R22&gt;0,R22,1)*IF(M22&gt;0,M22,1)*IF(O22&gt;0,O22,1),0)</f>
        <v/>
      </c>
      <c r="M22" s="245">
        <f>F22</f>
        <v/>
      </c>
      <c r="N22" s="243">
        <f>G22</f>
        <v/>
      </c>
      <c r="O22" s="245">
        <f>H22</f>
        <v/>
      </c>
      <c r="P22" s="243">
        <f>I22</f>
        <v/>
      </c>
      <c r="Q22" s="246">
        <f>J22</f>
        <v/>
      </c>
      <c r="R22" s="247">
        <f>K22</f>
        <v/>
      </c>
      <c r="S22" s="243" t="n"/>
      <c r="T22" s="249">
        <f>ROUNDUP(IF(Y22=0,0,Y22)*IF(Z22&gt;0,Z22,1)*IF(U22&gt;0,U22,1)*IF(W22&gt;0,W22,1),0)</f>
        <v/>
      </c>
      <c r="U22" s="245">
        <f>M22</f>
        <v/>
      </c>
      <c r="V22" s="243">
        <f>N22</f>
        <v/>
      </c>
      <c r="W22" s="245">
        <f>O22</f>
        <v/>
      </c>
      <c r="X22" s="243">
        <f>P22</f>
        <v/>
      </c>
      <c r="Y22" s="246">
        <f>Q22</f>
        <v/>
      </c>
      <c r="Z22" s="247">
        <f>R22</f>
        <v/>
      </c>
      <c r="AA22" s="243" t="n"/>
      <c r="AB22" s="254" t="n"/>
      <c r="AC22" s="254" t="n"/>
      <c r="AD22" s="254" t="n"/>
      <c r="AE22" s="254" t="n"/>
      <c r="AF22" s="254" t="n"/>
      <c r="AG22" s="255" t="n"/>
      <c r="AH22" s="256" t="n"/>
      <c r="AI22" s="253" t="n"/>
    </row>
    <row r="23" outlineLevel="1" s="592">
      <c r="A23" s="241">
        <f>$A11&amp;"."&amp;12</f>
        <v/>
      </c>
      <c r="B23" s="241" t="n"/>
      <c r="C23" s="255">
        <f>$C$11</f>
        <v/>
      </c>
      <c r="D23" s="243" t="n"/>
      <c r="E23" s="244">
        <f>ROUNDUP(IF(J23=0,0,J23)*IF(K23&gt;0,K23,1)*IF(F23&gt;0,F23,1)*IF(H23&gt;0,H23,1),0)</f>
        <v/>
      </c>
      <c r="F23" s="245" t="n"/>
      <c r="G23" s="243" t="n"/>
      <c r="H23" s="245" t="n"/>
      <c r="I23" s="243" t="n"/>
      <c r="J23" s="246" t="n"/>
      <c r="K23" s="247" t="n"/>
      <c r="L23" s="248">
        <f>ROUNDUP(IF(Q23=0,0,Q23)*IF(R23&gt;0,R23,1)*IF(M23&gt;0,M23,1)*IF(O23&gt;0,O23,1),0)</f>
        <v/>
      </c>
      <c r="M23" s="245">
        <f>F23</f>
        <v/>
      </c>
      <c r="N23" s="243">
        <f>G23</f>
        <v/>
      </c>
      <c r="O23" s="245">
        <f>H23</f>
        <v/>
      </c>
      <c r="P23" s="243">
        <f>I23</f>
        <v/>
      </c>
      <c r="Q23" s="246">
        <f>J23</f>
        <v/>
      </c>
      <c r="R23" s="247">
        <f>K23</f>
        <v/>
      </c>
      <c r="S23" s="243" t="n"/>
      <c r="T23" s="249">
        <f>ROUNDUP(IF(Y23=0,0,Y23)*IF(Z23&gt;0,Z23,1)*IF(U23&gt;0,U23,1)*IF(W23&gt;0,W23,1),0)</f>
        <v/>
      </c>
      <c r="U23" s="245">
        <f>M23</f>
        <v/>
      </c>
      <c r="V23" s="243">
        <f>N23</f>
        <v/>
      </c>
      <c r="W23" s="245">
        <f>O23</f>
        <v/>
      </c>
      <c r="X23" s="243">
        <f>P23</f>
        <v/>
      </c>
      <c r="Y23" s="246">
        <f>Q23</f>
        <v/>
      </c>
      <c r="Z23" s="247">
        <f>R23</f>
        <v/>
      </c>
      <c r="AA23" s="243" t="n"/>
      <c r="AB23" s="254" t="n"/>
      <c r="AC23" s="254" t="n"/>
      <c r="AD23" s="254" t="n"/>
      <c r="AE23" s="254" t="n"/>
      <c r="AF23" s="254" t="n"/>
      <c r="AG23" s="255" t="n"/>
      <c r="AH23" s="256" t="n"/>
      <c r="AI23" s="253" t="n"/>
    </row>
    <row r="24" outlineLevel="1" s="592">
      <c r="A24" s="241">
        <f>$A11&amp;"."&amp;13</f>
        <v/>
      </c>
      <c r="B24" s="241" t="n"/>
      <c r="C24" s="255">
        <f>$C$11</f>
        <v/>
      </c>
      <c r="D24" s="243" t="n"/>
      <c r="E24" s="244">
        <f>ROUNDUP(IF(J24=0,0,J24)*IF(K24&gt;0,K24,1)*IF(F24&gt;0,F24,1)*IF(H24&gt;0,H24,1),0)</f>
        <v/>
      </c>
      <c r="F24" s="245" t="n"/>
      <c r="G24" s="243" t="n"/>
      <c r="H24" s="245" t="n"/>
      <c r="I24" s="243" t="n"/>
      <c r="J24" s="246" t="n"/>
      <c r="K24" s="247" t="n"/>
      <c r="L24" s="248">
        <f>ROUNDUP(IF(Q24=0,0,Q24)*IF(R24&gt;0,R24,1)*IF(M24&gt;0,M24,1)*IF(O24&gt;0,O24,1),0)</f>
        <v/>
      </c>
      <c r="M24" s="245">
        <f>F24</f>
        <v/>
      </c>
      <c r="N24" s="243">
        <f>G24</f>
        <v/>
      </c>
      <c r="O24" s="245">
        <f>H24</f>
        <v/>
      </c>
      <c r="P24" s="243">
        <f>I24</f>
        <v/>
      </c>
      <c r="Q24" s="246">
        <f>J24</f>
        <v/>
      </c>
      <c r="R24" s="247">
        <f>K24</f>
        <v/>
      </c>
      <c r="S24" s="243" t="n"/>
      <c r="T24" s="249">
        <f>ROUNDUP(IF(Y24=0,0,Y24)*IF(Z24&gt;0,Z24,1)*IF(U24&gt;0,U24,1)*IF(W24&gt;0,W24,1),0)</f>
        <v/>
      </c>
      <c r="U24" s="245">
        <f>M24</f>
        <v/>
      </c>
      <c r="V24" s="243">
        <f>N24</f>
        <v/>
      </c>
      <c r="W24" s="245">
        <f>O24</f>
        <v/>
      </c>
      <c r="X24" s="243">
        <f>P24</f>
        <v/>
      </c>
      <c r="Y24" s="246">
        <f>Q24</f>
        <v/>
      </c>
      <c r="Z24" s="247">
        <f>R24</f>
        <v/>
      </c>
      <c r="AA24" s="243" t="n"/>
      <c r="AB24" s="254" t="n"/>
      <c r="AC24" s="254" t="n"/>
      <c r="AD24" s="254" t="n"/>
      <c r="AE24" s="254" t="n"/>
      <c r="AF24" s="254" t="n"/>
      <c r="AG24" s="255" t="n"/>
      <c r="AH24" s="256" t="n"/>
      <c r="AI24" s="253" t="n"/>
    </row>
    <row r="25" outlineLevel="1" s="592">
      <c r="A25" s="241">
        <f>$A11&amp;"."&amp;14</f>
        <v/>
      </c>
      <c r="B25" s="241" t="n"/>
      <c r="C25" s="255">
        <f>$C$11</f>
        <v/>
      </c>
      <c r="D25" s="243" t="n"/>
      <c r="E25" s="244">
        <f>ROUNDUP(IF(J25=0,0,J25)*IF(K25&gt;0,K25,1)*IF(F25&gt;0,F25,1)*IF(H25&gt;0,H25,1),0)</f>
        <v/>
      </c>
      <c r="F25" s="245" t="n"/>
      <c r="G25" s="243" t="n"/>
      <c r="H25" s="245" t="n"/>
      <c r="I25" s="243" t="n"/>
      <c r="J25" s="246" t="n"/>
      <c r="K25" s="247" t="n"/>
      <c r="L25" s="248">
        <f>ROUNDUP(IF(Q25=0,0,Q25)*IF(R25&gt;0,R25,1)*IF(M25&gt;0,M25,1)*IF(O25&gt;0,O25,1),0)</f>
        <v/>
      </c>
      <c r="M25" s="245">
        <f>F25</f>
        <v/>
      </c>
      <c r="N25" s="243">
        <f>G25</f>
        <v/>
      </c>
      <c r="O25" s="245">
        <f>H25</f>
        <v/>
      </c>
      <c r="P25" s="243">
        <f>I25</f>
        <v/>
      </c>
      <c r="Q25" s="246">
        <f>J25</f>
        <v/>
      </c>
      <c r="R25" s="247">
        <f>K25</f>
        <v/>
      </c>
      <c r="S25" s="243" t="n"/>
      <c r="T25" s="249">
        <f>ROUNDUP(IF(Y25=0,0,Y25)*IF(Z25&gt;0,Z25,1)*IF(U25&gt;0,U25,1)*IF(W25&gt;0,W25,1),0)</f>
        <v/>
      </c>
      <c r="U25" s="245">
        <f>M25</f>
        <v/>
      </c>
      <c r="V25" s="243">
        <f>N25</f>
        <v/>
      </c>
      <c r="W25" s="245">
        <f>O25</f>
        <v/>
      </c>
      <c r="X25" s="243">
        <f>P25</f>
        <v/>
      </c>
      <c r="Y25" s="246">
        <f>Q25</f>
        <v/>
      </c>
      <c r="Z25" s="247">
        <f>R25</f>
        <v/>
      </c>
      <c r="AA25" s="243" t="n"/>
      <c r="AB25" s="254" t="n"/>
      <c r="AC25" s="254" t="n"/>
      <c r="AD25" s="254" t="n"/>
      <c r="AE25" s="254" t="n"/>
      <c r="AF25" s="254" t="n"/>
      <c r="AG25" s="255" t="n"/>
      <c r="AH25" s="256" t="n"/>
      <c r="AI25" s="253" t="n"/>
    </row>
    <row r="26" outlineLevel="1" s="592">
      <c r="A26" s="241">
        <f>$A11&amp;"."&amp;15</f>
        <v/>
      </c>
      <c r="B26" s="241" t="n"/>
      <c r="C26" s="255">
        <f>$C$11</f>
        <v/>
      </c>
      <c r="D26" s="243" t="n"/>
      <c r="E26" s="244">
        <f>ROUNDUP(IF(J26=0,0,J26)*IF(K26&gt;0,K26,1)*IF(F26&gt;0,F26,1)*IF(H26&gt;0,H26,1),0)</f>
        <v/>
      </c>
      <c r="F26" s="245" t="n"/>
      <c r="G26" s="243" t="n"/>
      <c r="H26" s="245" t="n"/>
      <c r="I26" s="243" t="n"/>
      <c r="J26" s="246" t="n"/>
      <c r="K26" s="247" t="n"/>
      <c r="L26" s="248">
        <f>ROUNDUP(IF(Q26=0,0,Q26)*IF(R26&gt;0,R26,1)*IF(M26&gt;0,M26,1)*IF(O26&gt;0,O26,1),0)</f>
        <v/>
      </c>
      <c r="M26" s="245">
        <f>F26</f>
        <v/>
      </c>
      <c r="N26" s="243">
        <f>G26</f>
        <v/>
      </c>
      <c r="O26" s="245">
        <f>H26</f>
        <v/>
      </c>
      <c r="P26" s="243">
        <f>I26</f>
        <v/>
      </c>
      <c r="Q26" s="246">
        <f>J26</f>
        <v/>
      </c>
      <c r="R26" s="247">
        <f>K26</f>
        <v/>
      </c>
      <c r="S26" s="243" t="n"/>
      <c r="T26" s="249">
        <f>ROUNDUP(IF(Y26=0,0,Y26)*IF(Z26&gt;0,Z26,1)*IF(U26&gt;0,U26,1)*IF(W26&gt;0,W26,1),0)</f>
        <v/>
      </c>
      <c r="U26" s="245">
        <f>M26</f>
        <v/>
      </c>
      <c r="V26" s="243">
        <f>N26</f>
        <v/>
      </c>
      <c r="W26" s="245">
        <f>O26</f>
        <v/>
      </c>
      <c r="X26" s="243">
        <f>P26</f>
        <v/>
      </c>
      <c r="Y26" s="246">
        <f>Q26</f>
        <v/>
      </c>
      <c r="Z26" s="247">
        <f>R26</f>
        <v/>
      </c>
      <c r="AA26" s="243" t="n"/>
      <c r="AB26" s="254" t="n"/>
      <c r="AC26" s="254" t="n"/>
      <c r="AD26" s="254" t="n"/>
      <c r="AE26" s="254" t="n"/>
      <c r="AF26" s="254" t="n"/>
      <c r="AG26" s="255" t="n"/>
      <c r="AH26" s="256" t="n"/>
      <c r="AI26" s="253" t="n"/>
    </row>
    <row r="27" outlineLevel="1" s="592">
      <c r="A27" s="241">
        <f>$A11&amp;"."&amp;16</f>
        <v/>
      </c>
      <c r="B27" s="241" t="n"/>
      <c r="C27" s="255">
        <f>$C$11</f>
        <v/>
      </c>
      <c r="D27" s="243" t="n"/>
      <c r="E27" s="244">
        <f>ROUNDUP(IF(J27=0,0,J27)*IF(K27&gt;0,K27,1)*IF(F27&gt;0,F27,1)*IF(H27&gt;0,H27,1),0)</f>
        <v/>
      </c>
      <c r="F27" s="245" t="n"/>
      <c r="G27" s="243" t="n"/>
      <c r="H27" s="245" t="n"/>
      <c r="I27" s="243" t="n"/>
      <c r="J27" s="246" t="n"/>
      <c r="K27" s="247" t="n"/>
      <c r="L27" s="248">
        <f>ROUNDUP(IF(Q27=0,0,Q27)*IF(R27&gt;0,R27,1)*IF(M27&gt;0,M27,1)*IF(O27&gt;0,O27,1),0)</f>
        <v/>
      </c>
      <c r="M27" s="245">
        <f>F27</f>
        <v/>
      </c>
      <c r="N27" s="243">
        <f>G27</f>
        <v/>
      </c>
      <c r="O27" s="245">
        <f>H27</f>
        <v/>
      </c>
      <c r="P27" s="243">
        <f>I27</f>
        <v/>
      </c>
      <c r="Q27" s="246">
        <f>J27</f>
        <v/>
      </c>
      <c r="R27" s="247">
        <f>K27</f>
        <v/>
      </c>
      <c r="S27" s="243" t="n"/>
      <c r="T27" s="249">
        <f>ROUNDUP(IF(Y27=0,0,Y27)*IF(Z27&gt;0,Z27,1)*IF(U27&gt;0,U27,1)*IF(W27&gt;0,W27,1),0)</f>
        <v/>
      </c>
      <c r="U27" s="245">
        <f>M27</f>
        <v/>
      </c>
      <c r="V27" s="243">
        <f>N27</f>
        <v/>
      </c>
      <c r="W27" s="245">
        <f>O27</f>
        <v/>
      </c>
      <c r="X27" s="243">
        <f>P27</f>
        <v/>
      </c>
      <c r="Y27" s="246">
        <f>Q27</f>
        <v/>
      </c>
      <c r="Z27" s="247">
        <f>R27</f>
        <v/>
      </c>
      <c r="AA27" s="243" t="n"/>
      <c r="AB27" s="254" t="n"/>
      <c r="AC27" s="254" t="n"/>
      <c r="AD27" s="254" t="n"/>
      <c r="AE27" s="254" t="n"/>
      <c r="AF27" s="254" t="n"/>
      <c r="AG27" s="255" t="n"/>
      <c r="AH27" s="256" t="n"/>
      <c r="AI27" s="253" t="n"/>
    </row>
    <row r="28" outlineLevel="1" s="592">
      <c r="A28" s="241">
        <f>$A11&amp;"."&amp;17</f>
        <v/>
      </c>
      <c r="B28" s="241" t="n"/>
      <c r="C28" s="255">
        <f>$C$11</f>
        <v/>
      </c>
      <c r="D28" s="243" t="n"/>
      <c r="E28" s="244">
        <f>ROUNDUP(IF(J28=0,0,J28)*IF(K28&gt;0,K28,1)*IF(F28&gt;0,F28,1)*IF(H28&gt;0,H28,1),0)</f>
        <v/>
      </c>
      <c r="F28" s="245" t="n"/>
      <c r="G28" s="243" t="n"/>
      <c r="H28" s="245" t="n"/>
      <c r="I28" s="243" t="n"/>
      <c r="J28" s="246" t="n"/>
      <c r="K28" s="247" t="n"/>
      <c r="L28" s="248">
        <f>ROUNDUP(IF(Q28=0,0,Q28)*IF(R28&gt;0,R28,1)*IF(M28&gt;0,M28,1)*IF(O28&gt;0,O28,1),0)</f>
        <v/>
      </c>
      <c r="M28" s="245">
        <f>F28</f>
        <v/>
      </c>
      <c r="N28" s="243">
        <f>G28</f>
        <v/>
      </c>
      <c r="O28" s="245">
        <f>H28</f>
        <v/>
      </c>
      <c r="P28" s="243">
        <f>I28</f>
        <v/>
      </c>
      <c r="Q28" s="246">
        <f>J28</f>
        <v/>
      </c>
      <c r="R28" s="247">
        <f>K28</f>
        <v/>
      </c>
      <c r="S28" s="243" t="n"/>
      <c r="T28" s="249">
        <f>ROUNDUP(IF(Y28=0,0,Y28)*IF(Z28&gt;0,Z28,1)*IF(U28&gt;0,U28,1)*IF(W28&gt;0,W28,1),0)</f>
        <v/>
      </c>
      <c r="U28" s="245">
        <f>M28</f>
        <v/>
      </c>
      <c r="V28" s="243">
        <f>N28</f>
        <v/>
      </c>
      <c r="W28" s="245">
        <f>O28</f>
        <v/>
      </c>
      <c r="X28" s="243">
        <f>P28</f>
        <v/>
      </c>
      <c r="Y28" s="246">
        <f>Q28</f>
        <v/>
      </c>
      <c r="Z28" s="247">
        <f>R28</f>
        <v/>
      </c>
      <c r="AA28" s="243" t="n"/>
      <c r="AB28" s="254" t="n"/>
      <c r="AC28" s="254" t="n"/>
      <c r="AD28" s="254" t="n"/>
      <c r="AE28" s="254" t="n"/>
      <c r="AF28" s="254" t="n"/>
      <c r="AG28" s="255" t="n"/>
      <c r="AH28" s="256" t="n"/>
      <c r="AI28" s="253" t="n"/>
    </row>
    <row r="29" outlineLevel="1" s="592">
      <c r="A29" s="241">
        <f>$A11&amp;"."&amp;18</f>
        <v/>
      </c>
      <c r="B29" s="241" t="n"/>
      <c r="C29" s="255">
        <f>$C$11</f>
        <v/>
      </c>
      <c r="D29" s="243" t="n"/>
      <c r="E29" s="244">
        <f>ROUNDUP(IF(J29=0,0,J29)*IF(K29&gt;0,K29,1)*IF(F29&gt;0,F29,1)*IF(H29&gt;0,H29,1),0)</f>
        <v/>
      </c>
      <c r="F29" s="245" t="n"/>
      <c r="G29" s="243" t="n"/>
      <c r="H29" s="245" t="n"/>
      <c r="I29" s="243" t="n"/>
      <c r="J29" s="246" t="n"/>
      <c r="K29" s="247" t="n"/>
      <c r="L29" s="248">
        <f>ROUNDUP(IF(Q29=0,0,Q29)*IF(R29&gt;0,R29,1)*IF(M29&gt;0,M29,1)*IF(O29&gt;0,O29,1),0)</f>
        <v/>
      </c>
      <c r="M29" s="245">
        <f>F29</f>
        <v/>
      </c>
      <c r="N29" s="243">
        <f>G29</f>
        <v/>
      </c>
      <c r="O29" s="245">
        <f>H29</f>
        <v/>
      </c>
      <c r="P29" s="243">
        <f>I29</f>
        <v/>
      </c>
      <c r="Q29" s="246">
        <f>J29</f>
        <v/>
      </c>
      <c r="R29" s="247">
        <f>K29</f>
        <v/>
      </c>
      <c r="S29" s="243" t="n"/>
      <c r="T29" s="249">
        <f>ROUNDUP(IF(Y29=0,0,Y29)*IF(Z29&gt;0,Z29,1)*IF(U29&gt;0,U29,1)*IF(W29&gt;0,W29,1),0)</f>
        <v/>
      </c>
      <c r="U29" s="245">
        <f>M29</f>
        <v/>
      </c>
      <c r="V29" s="243">
        <f>N29</f>
        <v/>
      </c>
      <c r="W29" s="245">
        <f>O29</f>
        <v/>
      </c>
      <c r="X29" s="243">
        <f>P29</f>
        <v/>
      </c>
      <c r="Y29" s="246">
        <f>Q29</f>
        <v/>
      </c>
      <c r="Z29" s="247">
        <f>R29</f>
        <v/>
      </c>
      <c r="AA29" s="243" t="n"/>
      <c r="AB29" s="254" t="n"/>
      <c r="AC29" s="254" t="n"/>
      <c r="AD29" s="254" t="n"/>
      <c r="AE29" s="254" t="n"/>
      <c r="AF29" s="254" t="n"/>
      <c r="AG29" s="255" t="n"/>
      <c r="AH29" s="256" t="n"/>
      <c r="AI29" s="253" t="n"/>
    </row>
    <row r="30" outlineLevel="1" s="592">
      <c r="A30" s="241">
        <f>$A11&amp;"."&amp;19</f>
        <v/>
      </c>
      <c r="B30" s="241" t="n"/>
      <c r="C30" s="255">
        <f>$C$11</f>
        <v/>
      </c>
      <c r="D30" s="243" t="n"/>
      <c r="E30" s="244">
        <f>ROUNDUP(IF(J30=0,0,J30)*IF(K30&gt;0,K30,1)*IF(F30&gt;0,F30,1)*IF(H30&gt;0,H30,1),0)</f>
        <v/>
      </c>
      <c r="F30" s="245" t="n"/>
      <c r="G30" s="243" t="n"/>
      <c r="H30" s="245" t="n"/>
      <c r="I30" s="243" t="n"/>
      <c r="J30" s="246" t="n"/>
      <c r="K30" s="247" t="n"/>
      <c r="L30" s="248">
        <f>ROUNDUP(IF(Q30=0,0,Q30)*IF(R30&gt;0,R30,1)*IF(M30&gt;0,M30,1)*IF(O30&gt;0,O30,1),0)</f>
        <v/>
      </c>
      <c r="M30" s="245">
        <f>F30</f>
        <v/>
      </c>
      <c r="N30" s="243">
        <f>G30</f>
        <v/>
      </c>
      <c r="O30" s="245">
        <f>H30</f>
        <v/>
      </c>
      <c r="P30" s="243">
        <f>I30</f>
        <v/>
      </c>
      <c r="Q30" s="246">
        <f>J30</f>
        <v/>
      </c>
      <c r="R30" s="247">
        <f>K30</f>
        <v/>
      </c>
      <c r="S30" s="243" t="n"/>
      <c r="T30" s="249">
        <f>ROUNDUP(IF(Y30=0,0,Y30)*IF(Z30&gt;0,Z30,1)*IF(U30&gt;0,U30,1)*IF(W30&gt;0,W30,1),0)</f>
        <v/>
      </c>
      <c r="U30" s="245">
        <f>M30</f>
        <v/>
      </c>
      <c r="V30" s="243">
        <f>N30</f>
        <v/>
      </c>
      <c r="W30" s="245">
        <f>O30</f>
        <v/>
      </c>
      <c r="X30" s="243">
        <f>P30</f>
        <v/>
      </c>
      <c r="Y30" s="246">
        <f>Q30</f>
        <v/>
      </c>
      <c r="Z30" s="247">
        <f>R30</f>
        <v/>
      </c>
      <c r="AA30" s="243" t="n"/>
      <c r="AB30" s="254" t="n"/>
      <c r="AC30" s="254" t="n"/>
      <c r="AD30" s="254" t="n"/>
      <c r="AE30" s="254" t="n"/>
      <c r="AF30" s="254" t="n"/>
      <c r="AG30" s="255" t="n"/>
      <c r="AH30" s="256" t="n"/>
      <c r="AI30" s="253" t="n"/>
    </row>
    <row r="31" outlineLevel="1" s="592">
      <c r="A31" s="241">
        <f>$A11&amp;"."&amp;20</f>
        <v/>
      </c>
      <c r="B31" s="241" t="n"/>
      <c r="C31" s="255">
        <f>$C$11</f>
        <v/>
      </c>
      <c r="D31" s="243" t="n"/>
      <c r="E31" s="244">
        <f>ROUNDUP(IF(J31=0,0,J31)*IF(K31&gt;0,K31,1)*IF(F31&gt;0,F31,1)*IF(H31&gt;0,H31,1),0)</f>
        <v/>
      </c>
      <c r="F31" s="245" t="n"/>
      <c r="G31" s="243" t="n"/>
      <c r="H31" s="245" t="n"/>
      <c r="I31" s="243" t="n"/>
      <c r="J31" s="246" t="n"/>
      <c r="K31" s="247" t="n"/>
      <c r="L31" s="248">
        <f>ROUNDUP(IF(Q31=0,0,Q31)*IF(R31&gt;0,R31,1)*IF(M31&gt;0,M31,1)*IF(O31&gt;0,O31,1),0)</f>
        <v/>
      </c>
      <c r="M31" s="245">
        <f>F31</f>
        <v/>
      </c>
      <c r="N31" s="243">
        <f>G31</f>
        <v/>
      </c>
      <c r="O31" s="245">
        <f>H31</f>
        <v/>
      </c>
      <c r="P31" s="243">
        <f>I31</f>
        <v/>
      </c>
      <c r="Q31" s="246">
        <f>J31</f>
        <v/>
      </c>
      <c r="R31" s="247">
        <f>K31</f>
        <v/>
      </c>
      <c r="S31" s="243" t="n"/>
      <c r="T31" s="249">
        <f>ROUNDUP(IF(Y31=0,0,Y31)*IF(Z31&gt;0,Z31,1)*IF(U31&gt;0,U31,1)*IF(W31&gt;0,W31,1),0)</f>
        <v/>
      </c>
      <c r="U31" s="245">
        <f>M31</f>
        <v/>
      </c>
      <c r="V31" s="243">
        <f>N31</f>
        <v/>
      </c>
      <c r="W31" s="245">
        <f>O31</f>
        <v/>
      </c>
      <c r="X31" s="243">
        <f>P31</f>
        <v/>
      </c>
      <c r="Y31" s="246">
        <f>Q31</f>
        <v/>
      </c>
      <c r="Z31" s="247">
        <f>R31</f>
        <v/>
      </c>
      <c r="AA31" s="243" t="n"/>
      <c r="AB31" s="254" t="n"/>
      <c r="AC31" s="254" t="n"/>
      <c r="AD31" s="254" t="n"/>
      <c r="AE31" s="254" t="n"/>
      <c r="AF31" s="254" t="n"/>
      <c r="AG31" s="255" t="n"/>
      <c r="AH31" s="256" t="n"/>
      <c r="AI31" s="253" t="n"/>
    </row>
    <row r="32" collapsed="1" s="592">
      <c r="A32" s="257" t="n">
        <v>2</v>
      </c>
      <c r="B32" s="230">
        <f>IFERROR(__xludf.DUMMYFUNCTION("VLOOKUP(C32,IMPORTRANGE(REF!$B$3,""FP!B:C""),2,0)"),"#N/A")</f>
        <v/>
      </c>
      <c r="C32" s="237" t="inlineStr">
        <is>
          <t>กิจกรรมสร้างเครือข่ายศิษย์เก่าและอุตสาหกรรม</t>
        </is>
      </c>
      <c r="D32" s="232" t="n"/>
      <c r="E32" s="233" t="n">
        <v>49000</v>
      </c>
      <c r="F32" s="234" t="n"/>
      <c r="G32" s="235" t="n"/>
      <c r="H32" s="234" t="n"/>
      <c r="I32" s="235" t="n"/>
      <c r="J32" s="233" t="n"/>
      <c r="K32" s="236" t="n"/>
      <c r="L32" s="233">
        <f>SUM(L33:L52)</f>
        <v/>
      </c>
      <c r="M32" s="234" t="n"/>
      <c r="N32" s="235" t="n"/>
      <c r="O32" s="234" t="n"/>
      <c r="P32" s="235" t="n"/>
      <c r="Q32" s="233" t="n"/>
      <c r="R32" s="236" t="n"/>
      <c r="S32" s="235" t="n"/>
      <c r="T32" s="233">
        <f>SUM(T33:T52)</f>
        <v/>
      </c>
      <c r="U32" s="234" t="n"/>
      <c r="V32" s="235" t="n"/>
      <c r="W32" s="234" t="n"/>
      <c r="X32" s="235" t="n"/>
      <c r="Y32" s="233" t="n"/>
      <c r="Z32" s="236" t="n"/>
      <c r="AA32" s="235" t="n"/>
      <c r="AB32" s="237" t="n"/>
      <c r="AC32" s="237" t="n"/>
      <c r="AD32" s="237" t="n"/>
      <c r="AE32" s="237" t="n"/>
      <c r="AF32" s="237" t="n"/>
      <c r="AG32" s="238" t="b">
        <v>0</v>
      </c>
      <c r="AH32" s="239" t="n"/>
      <c r="AI32" s="253" t="n"/>
    </row>
    <row r="33" hidden="1" outlineLevel="1" s="592">
      <c r="A33" s="241">
        <f>$A32&amp;"."&amp;1</f>
        <v/>
      </c>
      <c r="B33" s="241" t="n"/>
      <c r="C33" s="255" t="inlineStr">
        <is>
          <t>กิจกรรมสร้างเครือข่ายศิษย์เก่าและอุตสาหกรรม</t>
        </is>
      </c>
      <c r="D33" s="243" t="inlineStr">
        <is>
          <t>ค่าอาหารและเครื่องดื่ม (ศิษย์เก่า/อุตสาหกรรม)</t>
        </is>
      </c>
      <c r="E33" s="244" t="n">
        <v>21500</v>
      </c>
      <c r="F33" s="245" t="n">
        <v>50</v>
      </c>
      <c r="G33" s="243" t="inlineStr">
        <is>
          <t>คน</t>
        </is>
      </c>
      <c r="H33" s="245" t="n">
        <v>1</v>
      </c>
      <c r="I33" s="243" t="inlineStr">
        <is>
          <t>วัน</t>
        </is>
      </c>
      <c r="J33" s="246" t="n">
        <v>430</v>
      </c>
      <c r="K33" s="247" t="n"/>
      <c r="L33" s="248">
        <f>ROUNDUP(IF(Q33=0,0,Q33)*IF(R33&gt;0,R33,1)*IF(M33&gt;0,M33,1)*IF(O33&gt;0,O33,1),0)</f>
        <v/>
      </c>
      <c r="M33" s="245">
        <f>F33</f>
        <v/>
      </c>
      <c r="N33" s="243">
        <f>G33</f>
        <v/>
      </c>
      <c r="O33" s="245">
        <f>H33</f>
        <v/>
      </c>
      <c r="P33" s="243">
        <f>I33</f>
        <v/>
      </c>
      <c r="Q33" s="246">
        <f>J33</f>
        <v/>
      </c>
      <c r="R33" s="247">
        <f>K33</f>
        <v/>
      </c>
      <c r="S33" s="243" t="n"/>
      <c r="T33" s="249">
        <f>ROUNDUP(IF(Y33=0,0,Y33)*IF(Z33&gt;0,Z33,1)*IF(U33&gt;0,U33,1)*IF(W33&gt;0,W33,1),0)</f>
        <v/>
      </c>
      <c r="U33" s="245">
        <f>M33</f>
        <v/>
      </c>
      <c r="V33" s="243">
        <f>N33</f>
        <v/>
      </c>
      <c r="W33" s="245">
        <f>O33</f>
        <v/>
      </c>
      <c r="X33" s="243">
        <f>P33</f>
        <v/>
      </c>
      <c r="Y33" s="246">
        <f>Q33</f>
        <v/>
      </c>
      <c r="Z33" s="247">
        <f>R33</f>
        <v/>
      </c>
      <c r="AA33" s="243" t="n"/>
      <c r="AB33" s="254" t="n"/>
      <c r="AC33" s="254" t="n"/>
      <c r="AD33" s="254" t="n"/>
      <c r="AE33" s="254" t="n"/>
      <c r="AF33" s="254" t="n"/>
      <c r="AG33" s="255" t="n"/>
      <c r="AH33" s="256" t="n"/>
      <c r="AI33" s="253" t="n"/>
    </row>
    <row r="34" hidden="1" outlineLevel="1" s="592">
      <c r="A34" s="241">
        <f>$A32&amp;"."&amp;2</f>
        <v/>
      </c>
      <c r="B34" s="241" t="n"/>
      <c r="C34" s="255" t="inlineStr">
        <is>
          <t>กิจกรรมสร้างเครือข่ายศิษย์เก่าและอุตสาหกรรม</t>
        </is>
      </c>
      <c r="D34" s="243" t="inlineStr">
        <is>
          <t>ค่าอาหารและเครื่องดื่มผู้บริหาร</t>
        </is>
      </c>
      <c r="E34" s="244" t="n">
        <v>860</v>
      </c>
      <c r="F34" s="245" t="n">
        <v>2</v>
      </c>
      <c r="G34" s="243" t="inlineStr">
        <is>
          <t>คน</t>
        </is>
      </c>
      <c r="H34" s="245" t="n">
        <v>1</v>
      </c>
      <c r="I34" s="243" t="inlineStr">
        <is>
          <t>วัน</t>
        </is>
      </c>
      <c r="J34" s="246" t="n">
        <v>430</v>
      </c>
      <c r="K34" s="247" t="n"/>
      <c r="L34" s="248">
        <f>ROUNDUP(IF(Q34=0,0,Q34)*IF(R34&gt;0,R34,1)*IF(M34&gt;0,M34,1)*IF(O34&gt;0,O34,1),0)</f>
        <v/>
      </c>
      <c r="M34" s="245">
        <f>F34</f>
        <v/>
      </c>
      <c r="N34" s="243">
        <f>G34</f>
        <v/>
      </c>
      <c r="O34" s="245">
        <f>H34</f>
        <v/>
      </c>
      <c r="P34" s="243">
        <f>I34</f>
        <v/>
      </c>
      <c r="Q34" s="246">
        <f>J34</f>
        <v/>
      </c>
      <c r="R34" s="247">
        <f>K34</f>
        <v/>
      </c>
      <c r="S34" s="243" t="n"/>
      <c r="T34" s="249">
        <f>ROUNDUP(IF(Y34=0,0,Y34)*IF(Z34&gt;0,Z34,1)*IF(U34&gt;0,U34,1)*IF(W34&gt;0,W34,1),0)</f>
        <v/>
      </c>
      <c r="U34" s="245">
        <f>M34</f>
        <v/>
      </c>
      <c r="V34" s="243">
        <f>N34</f>
        <v/>
      </c>
      <c r="W34" s="245">
        <f>O34</f>
        <v/>
      </c>
      <c r="X34" s="243">
        <f>P34</f>
        <v/>
      </c>
      <c r="Y34" s="246">
        <f>Q34</f>
        <v/>
      </c>
      <c r="Z34" s="247">
        <f>R34</f>
        <v/>
      </c>
      <c r="AA34" s="243" t="n"/>
      <c r="AB34" s="254" t="n"/>
      <c r="AC34" s="254" t="n"/>
      <c r="AD34" s="254" t="n"/>
      <c r="AE34" s="254" t="n"/>
      <c r="AF34" s="254" t="n"/>
      <c r="AG34" s="255" t="n"/>
      <c r="AH34" s="256" t="n"/>
      <c r="AI34" s="253" t="n"/>
    </row>
    <row r="35" hidden="1" outlineLevel="1" s="592">
      <c r="A35" s="241">
        <f>$A32&amp;"."&amp;3</f>
        <v/>
      </c>
      <c r="B35" s="241" t="n"/>
      <c r="C35" s="255" t="inlineStr">
        <is>
          <t>กิจกรรมสร้างเครือข่ายศิษย์เก่าและอุตสาหกรรม</t>
        </is>
      </c>
      <c r="D35" s="243" t="inlineStr">
        <is>
          <t>ค่าอาหารและเครื่องดื่มอาจารย์</t>
        </is>
      </c>
      <c r="E35" s="244" t="n">
        <v>10320</v>
      </c>
      <c r="F35" s="245" t="n">
        <v>24</v>
      </c>
      <c r="G35" s="243" t="inlineStr">
        <is>
          <t>คน</t>
        </is>
      </c>
      <c r="H35" s="245" t="n">
        <v>1</v>
      </c>
      <c r="I35" s="243" t="inlineStr">
        <is>
          <t>วัน</t>
        </is>
      </c>
      <c r="J35" s="246" t="n">
        <v>430</v>
      </c>
      <c r="K35" s="247" t="n"/>
      <c r="L35" s="248">
        <f>ROUNDUP(IF(Q35=0,0,Q35)*IF(R35&gt;0,R35,1)*IF(M35&gt;0,M35,1)*IF(O35&gt;0,O35,1),0)</f>
        <v/>
      </c>
      <c r="M35" s="245">
        <f>F35</f>
        <v/>
      </c>
      <c r="N35" s="243">
        <f>G35</f>
        <v/>
      </c>
      <c r="O35" s="245">
        <f>H35</f>
        <v/>
      </c>
      <c r="P35" s="243">
        <f>I35</f>
        <v/>
      </c>
      <c r="Q35" s="246">
        <f>J35</f>
        <v/>
      </c>
      <c r="R35" s="247">
        <f>K35</f>
        <v/>
      </c>
      <c r="S35" s="243" t="n"/>
      <c r="T35" s="249">
        <f>ROUNDUP(IF(Y35=0,0,Y35)*IF(Z35&gt;0,Z35,1)*IF(U35&gt;0,U35,1)*IF(W35&gt;0,W35,1),0)</f>
        <v/>
      </c>
      <c r="U35" s="245">
        <f>M35</f>
        <v/>
      </c>
      <c r="V35" s="243">
        <f>N35</f>
        <v/>
      </c>
      <c r="W35" s="245">
        <f>O35</f>
        <v/>
      </c>
      <c r="X35" s="243">
        <f>P35</f>
        <v/>
      </c>
      <c r="Y35" s="246">
        <f>Q35</f>
        <v/>
      </c>
      <c r="Z35" s="247">
        <f>R35</f>
        <v/>
      </c>
      <c r="AA35" s="243" t="n"/>
      <c r="AB35" s="254" t="n"/>
      <c r="AC35" s="254" t="n"/>
      <c r="AD35" s="254" t="n"/>
      <c r="AE35" s="254" t="n"/>
      <c r="AF35" s="254" t="n"/>
      <c r="AG35" s="255" t="n"/>
      <c r="AH35" s="256" t="n"/>
      <c r="AI35" s="253" t="n"/>
    </row>
    <row r="36" hidden="1" outlineLevel="1" s="592">
      <c r="A36" s="241">
        <f>$A32&amp;"."&amp;4</f>
        <v/>
      </c>
      <c r="B36" s="241" t="n"/>
      <c r="C36" s="255" t="inlineStr">
        <is>
          <t>กิจกรรมสร้างเครือข่ายศิษย์เก่าและอุตสาหกรรม</t>
        </is>
      </c>
      <c r="D36" s="243" t="inlineStr">
        <is>
          <t>ค่าอาหารและเครื่องดื่มพนักงาน</t>
        </is>
      </c>
      <c r="E36" s="244" t="n">
        <v>860</v>
      </c>
      <c r="F36" s="245" t="n">
        <v>2</v>
      </c>
      <c r="G36" s="243" t="inlineStr">
        <is>
          <t>คน</t>
        </is>
      </c>
      <c r="H36" s="245" t="n">
        <v>1</v>
      </c>
      <c r="I36" s="243" t="inlineStr">
        <is>
          <t>วัน</t>
        </is>
      </c>
      <c r="J36" s="246" t="n">
        <v>430</v>
      </c>
      <c r="K36" s="247" t="n"/>
      <c r="L36" s="248">
        <f>ROUNDUP(IF(Q36=0,0,Q36)*IF(R36&gt;0,R36,1)*IF(M36&gt;0,M36,1)*IF(O36&gt;0,O36,1),0)</f>
        <v/>
      </c>
      <c r="M36" s="245">
        <f>F36</f>
        <v/>
      </c>
      <c r="N36" s="243">
        <f>G36</f>
        <v/>
      </c>
      <c r="O36" s="245">
        <f>H36</f>
        <v/>
      </c>
      <c r="P36" s="243">
        <f>I36</f>
        <v/>
      </c>
      <c r="Q36" s="246">
        <f>J36</f>
        <v/>
      </c>
      <c r="R36" s="247">
        <f>K36</f>
        <v/>
      </c>
      <c r="S36" s="243" t="n"/>
      <c r="T36" s="249">
        <f>ROUNDUP(IF(Y36=0,0,Y36)*IF(Z36&gt;0,Z36,1)*IF(U36&gt;0,U36,1)*IF(W36&gt;0,W36,1),0)</f>
        <v/>
      </c>
      <c r="U36" s="245">
        <f>M36</f>
        <v/>
      </c>
      <c r="V36" s="243">
        <f>N36</f>
        <v/>
      </c>
      <c r="W36" s="245">
        <f>O36</f>
        <v/>
      </c>
      <c r="X36" s="243">
        <f>P36</f>
        <v/>
      </c>
      <c r="Y36" s="246">
        <f>Q36</f>
        <v/>
      </c>
      <c r="Z36" s="247">
        <f>R36</f>
        <v/>
      </c>
      <c r="AA36" s="243" t="n"/>
      <c r="AB36" s="254" t="n"/>
      <c r="AC36" s="254" t="n"/>
      <c r="AD36" s="254" t="n"/>
      <c r="AE36" s="254" t="n"/>
      <c r="AF36" s="254" t="n"/>
      <c r="AG36" s="255" t="n"/>
      <c r="AH36" s="256" t="n"/>
      <c r="AI36" s="253" t="n"/>
    </row>
    <row r="37" hidden="1" outlineLevel="1" s="592">
      <c r="A37" s="241">
        <f>$A32&amp;"."&amp;5</f>
        <v/>
      </c>
      <c r="B37" s="241" t="n"/>
      <c r="C37" s="255" t="inlineStr">
        <is>
          <t>กิจกรรมสร้างเครือข่ายศิษย์เก่าและอุตสาหกรรม</t>
        </is>
      </c>
      <c r="D37" s="243" t="inlineStr">
        <is>
          <t>ค่าบำรุงสถานที่/เครื่องมืออุปกรณ์</t>
        </is>
      </c>
      <c r="E37" s="244" t="n">
        <v>10000</v>
      </c>
      <c r="F37" s="245" t="n">
        <v>1</v>
      </c>
      <c r="G37" s="243" t="inlineStr">
        <is>
          <t>ห้อง</t>
        </is>
      </c>
      <c r="H37" s="245" t="n">
        <v>1</v>
      </c>
      <c r="I37" s="243" t="inlineStr">
        <is>
          <t>วัน</t>
        </is>
      </c>
      <c r="J37" s="246" t="n">
        <v>10000</v>
      </c>
      <c r="K37" s="247" t="n"/>
      <c r="L37" s="248">
        <f>ROUNDUP(IF(Q37=0,0,Q37)*IF(R37&gt;0,R37,1)*IF(M37&gt;0,M37,1)*IF(O37&gt;0,O37,1),0)</f>
        <v/>
      </c>
      <c r="M37" s="245">
        <f>F37</f>
        <v/>
      </c>
      <c r="N37" s="243">
        <f>G37</f>
        <v/>
      </c>
      <c r="O37" s="245">
        <f>H37</f>
        <v/>
      </c>
      <c r="P37" s="243">
        <f>I37</f>
        <v/>
      </c>
      <c r="Q37" s="246">
        <f>J37</f>
        <v/>
      </c>
      <c r="R37" s="247">
        <f>K37</f>
        <v/>
      </c>
      <c r="S37" s="243" t="n"/>
      <c r="T37" s="249">
        <f>ROUNDUP(IF(Y37=0,0,Y37)*IF(Z37&gt;0,Z37,1)*IF(U37&gt;0,U37,1)*IF(W37&gt;0,W37,1),0)</f>
        <v/>
      </c>
      <c r="U37" s="245">
        <f>M37</f>
        <v/>
      </c>
      <c r="V37" s="243">
        <f>N37</f>
        <v/>
      </c>
      <c r="W37" s="245">
        <f>O37</f>
        <v/>
      </c>
      <c r="X37" s="243">
        <f>P37</f>
        <v/>
      </c>
      <c r="Y37" s="246">
        <f>Q37</f>
        <v/>
      </c>
      <c r="Z37" s="247">
        <f>R37</f>
        <v/>
      </c>
      <c r="AA37" s="243" t="n"/>
      <c r="AB37" s="254" t="n"/>
      <c r="AC37" s="254" t="n"/>
      <c r="AD37" s="254" t="n"/>
      <c r="AE37" s="254" t="n"/>
      <c r="AF37" s="254" t="n"/>
      <c r="AG37" s="255" t="n"/>
      <c r="AH37" s="256" t="n"/>
      <c r="AI37" s="253" t="n"/>
    </row>
    <row r="38" hidden="1" outlineLevel="1" s="592">
      <c r="A38" s="241">
        <f>$A32&amp;"."&amp;6</f>
        <v/>
      </c>
      <c r="B38" s="241" t="n"/>
      <c r="C38" s="255" t="inlineStr">
        <is>
          <t>กิจกรรมสร้างเครือข่ายศิษย์เก่าและอุตสาหกรรม</t>
        </is>
      </c>
      <c r="D38" s="243" t="inlineStr">
        <is>
          <t>ค่าวัสดุอุปกรณ์</t>
        </is>
      </c>
      <c r="E38" s="244" t="n">
        <v>5460</v>
      </c>
      <c r="F38" s="245" t="n">
        <v>1</v>
      </c>
      <c r="G38" s="243" t="inlineStr">
        <is>
          <t>ชุด</t>
        </is>
      </c>
      <c r="H38" s="245" t="n">
        <v>1</v>
      </c>
      <c r="I38" s="243" t="inlineStr">
        <is>
          <t>ครั้ง</t>
        </is>
      </c>
      <c r="J38" s="246" t="n">
        <v>5460</v>
      </c>
      <c r="K38" s="247" t="n"/>
      <c r="L38" s="248">
        <f>ROUNDUP(IF(Q38=0,0,Q38)*IF(R38&gt;0,R38,1)*IF(M38&gt;0,M38,1)*IF(O38&gt;0,O38,1),0)</f>
        <v/>
      </c>
      <c r="M38" s="245">
        <f>F38</f>
        <v/>
      </c>
      <c r="N38" s="243">
        <f>G38</f>
        <v/>
      </c>
      <c r="O38" s="245">
        <f>H38</f>
        <v/>
      </c>
      <c r="P38" s="243">
        <f>I38</f>
        <v/>
      </c>
      <c r="Q38" s="246">
        <f>J38</f>
        <v/>
      </c>
      <c r="R38" s="247">
        <f>K38</f>
        <v/>
      </c>
      <c r="S38" s="243" t="n"/>
      <c r="T38" s="249">
        <f>ROUNDUP(IF(Y38=0,0,Y38)*IF(Z38&gt;0,Z38,1)*IF(U38&gt;0,U38,1)*IF(W38&gt;0,W38,1),0)</f>
        <v/>
      </c>
      <c r="U38" s="245">
        <f>M38</f>
        <v/>
      </c>
      <c r="V38" s="243">
        <f>N38</f>
        <v/>
      </c>
      <c r="W38" s="245">
        <f>O38</f>
        <v/>
      </c>
      <c r="X38" s="243">
        <f>P38</f>
        <v/>
      </c>
      <c r="Y38" s="246">
        <f>Q38</f>
        <v/>
      </c>
      <c r="Z38" s="247">
        <f>R38</f>
        <v/>
      </c>
      <c r="AA38" s="243" t="n"/>
      <c r="AB38" s="254" t="n"/>
      <c r="AC38" s="254" t="n"/>
      <c r="AD38" s="254" t="n"/>
      <c r="AE38" s="254" t="n"/>
      <c r="AF38" s="254" t="n"/>
      <c r="AG38" s="255" t="n"/>
      <c r="AH38" s="256" t="n"/>
      <c r="AI38" s="253" t="n"/>
    </row>
    <row r="39" hidden="1" outlineLevel="1" s="592">
      <c r="A39" s="241">
        <f>$A32&amp;"."&amp;7</f>
        <v/>
      </c>
      <c r="B39" s="241" t="n"/>
      <c r="C39" s="255">
        <f>$C$32</f>
        <v/>
      </c>
      <c r="D39" s="243" t="n"/>
      <c r="E39" s="244">
        <f>ROUNDUP(IF(J39=0,0,J39)*IF(K39&gt;0,K39,1)*IF(F39&gt;0,F39,1)*IF(H39&gt;0,H39,1),0)</f>
        <v/>
      </c>
      <c r="F39" s="245" t="n"/>
      <c r="G39" s="243" t="n"/>
      <c r="H39" s="245" t="n"/>
      <c r="I39" s="243" t="n"/>
      <c r="J39" s="246" t="n"/>
      <c r="K39" s="247" t="n"/>
      <c r="L39" s="248">
        <f>ROUNDUP(IF(Q39=0,0,Q39)*IF(R39&gt;0,R39,1)*IF(M39&gt;0,M39,1)*IF(O39&gt;0,O39,1),0)</f>
        <v/>
      </c>
      <c r="M39" s="245">
        <f>F39</f>
        <v/>
      </c>
      <c r="N39" s="243">
        <f>G39</f>
        <v/>
      </c>
      <c r="O39" s="245">
        <f>H39</f>
        <v/>
      </c>
      <c r="P39" s="243">
        <f>I39</f>
        <v/>
      </c>
      <c r="Q39" s="246">
        <f>J39</f>
        <v/>
      </c>
      <c r="R39" s="247">
        <f>K39</f>
        <v/>
      </c>
      <c r="S39" s="243" t="n"/>
      <c r="T39" s="249">
        <f>ROUNDUP(IF(Y39=0,0,Y39)*IF(Z39&gt;0,Z39,1)*IF(U39&gt;0,U39,1)*IF(W39&gt;0,W39,1),0)</f>
        <v/>
      </c>
      <c r="U39" s="245">
        <f>M39</f>
        <v/>
      </c>
      <c r="V39" s="243">
        <f>N39</f>
        <v/>
      </c>
      <c r="W39" s="245">
        <f>O39</f>
        <v/>
      </c>
      <c r="X39" s="243">
        <f>P39</f>
        <v/>
      </c>
      <c r="Y39" s="246">
        <f>Q39</f>
        <v/>
      </c>
      <c r="Z39" s="247">
        <f>R39</f>
        <v/>
      </c>
      <c r="AA39" s="243" t="n"/>
      <c r="AB39" s="254" t="n"/>
      <c r="AC39" s="254" t="n"/>
      <c r="AD39" s="254" t="n"/>
      <c r="AE39" s="254" t="n"/>
      <c r="AF39" s="254" t="n"/>
      <c r="AG39" s="255" t="n"/>
      <c r="AH39" s="256" t="n"/>
      <c r="AI39" s="253" t="n"/>
    </row>
    <row r="40" hidden="1" outlineLevel="1" s="592">
      <c r="A40" s="241">
        <f>$A32&amp;"."&amp;8</f>
        <v/>
      </c>
      <c r="B40" s="241" t="n"/>
      <c r="C40" s="255">
        <f>$C$32</f>
        <v/>
      </c>
      <c r="D40" s="243" t="n"/>
      <c r="E40" s="244">
        <f>ROUNDUP(IF(J40=0,0,J40)*IF(K40&gt;0,K40,1)*IF(F40&gt;0,F40,1)*IF(H40&gt;0,H40,1),0)</f>
        <v/>
      </c>
      <c r="F40" s="245" t="n"/>
      <c r="G40" s="243" t="n"/>
      <c r="H40" s="245" t="n"/>
      <c r="I40" s="243" t="n"/>
      <c r="J40" s="246" t="n"/>
      <c r="K40" s="247" t="n"/>
      <c r="L40" s="248">
        <f>ROUNDUP(IF(Q40=0,0,Q40)*IF(R40&gt;0,R40,1)*IF(M40&gt;0,M40,1)*IF(O40&gt;0,O40,1),0)</f>
        <v/>
      </c>
      <c r="M40" s="245">
        <f>F40</f>
        <v/>
      </c>
      <c r="N40" s="243">
        <f>G40</f>
        <v/>
      </c>
      <c r="O40" s="245">
        <f>H40</f>
        <v/>
      </c>
      <c r="P40" s="243">
        <f>I40</f>
        <v/>
      </c>
      <c r="Q40" s="246">
        <f>J40</f>
        <v/>
      </c>
      <c r="R40" s="247">
        <f>K40</f>
        <v/>
      </c>
      <c r="S40" s="243" t="n"/>
      <c r="T40" s="249">
        <f>ROUNDUP(IF(Y40=0,0,Y40)*IF(Z40&gt;0,Z40,1)*IF(U40&gt;0,U40,1)*IF(W40&gt;0,W40,1),0)</f>
        <v/>
      </c>
      <c r="U40" s="245">
        <f>M40</f>
        <v/>
      </c>
      <c r="V40" s="243">
        <f>N40</f>
        <v/>
      </c>
      <c r="W40" s="245">
        <f>O40</f>
        <v/>
      </c>
      <c r="X40" s="243">
        <f>P40</f>
        <v/>
      </c>
      <c r="Y40" s="246">
        <f>Q40</f>
        <v/>
      </c>
      <c r="Z40" s="247">
        <f>R40</f>
        <v/>
      </c>
      <c r="AA40" s="243" t="n"/>
      <c r="AB40" s="254" t="n"/>
      <c r="AC40" s="254" t="n"/>
      <c r="AD40" s="254" t="n"/>
      <c r="AE40" s="254" t="n"/>
      <c r="AF40" s="254" t="n"/>
      <c r="AG40" s="255" t="n"/>
      <c r="AH40" s="256" t="n"/>
      <c r="AI40" s="253" t="n"/>
    </row>
    <row r="41" hidden="1" outlineLevel="1" s="592">
      <c r="A41" s="241">
        <f>$A32&amp;"."&amp;9</f>
        <v/>
      </c>
      <c r="B41" s="241" t="n"/>
      <c r="C41" s="255">
        <f>$C$32</f>
        <v/>
      </c>
      <c r="D41" s="243" t="n"/>
      <c r="E41" s="244">
        <f>ROUNDUP(IF(J41=0,0,J41)*IF(K41&gt;0,K41,1)*IF(F41&gt;0,F41,1)*IF(H41&gt;0,H41,1),0)</f>
        <v/>
      </c>
      <c r="F41" s="245" t="n"/>
      <c r="G41" s="243" t="n"/>
      <c r="H41" s="245" t="n"/>
      <c r="I41" s="243" t="n"/>
      <c r="J41" s="246" t="n"/>
      <c r="K41" s="247" t="n"/>
      <c r="L41" s="248">
        <f>ROUNDUP(IF(Q41=0,0,Q41)*IF(R41&gt;0,R41,1)*IF(M41&gt;0,M41,1)*IF(O41&gt;0,O41,1),0)</f>
        <v/>
      </c>
      <c r="M41" s="245">
        <f>F41</f>
        <v/>
      </c>
      <c r="N41" s="243">
        <f>G41</f>
        <v/>
      </c>
      <c r="O41" s="245">
        <f>H41</f>
        <v/>
      </c>
      <c r="P41" s="243">
        <f>I41</f>
        <v/>
      </c>
      <c r="Q41" s="246">
        <f>J41</f>
        <v/>
      </c>
      <c r="R41" s="247">
        <f>K41</f>
        <v/>
      </c>
      <c r="S41" s="243" t="n"/>
      <c r="T41" s="249">
        <f>ROUNDUP(IF(Y41=0,0,Y41)*IF(Z41&gt;0,Z41,1)*IF(U41&gt;0,U41,1)*IF(W41&gt;0,W41,1),0)</f>
        <v/>
      </c>
      <c r="U41" s="245">
        <f>M41</f>
        <v/>
      </c>
      <c r="V41" s="243">
        <f>N41</f>
        <v/>
      </c>
      <c r="W41" s="245">
        <f>O41</f>
        <v/>
      </c>
      <c r="X41" s="243">
        <f>P41</f>
        <v/>
      </c>
      <c r="Y41" s="246">
        <f>Q41</f>
        <v/>
      </c>
      <c r="Z41" s="247">
        <f>R41</f>
        <v/>
      </c>
      <c r="AA41" s="243" t="n"/>
      <c r="AB41" s="254" t="n"/>
      <c r="AC41" s="254" t="n"/>
      <c r="AD41" s="254" t="n"/>
      <c r="AE41" s="254" t="n"/>
      <c r="AF41" s="254" t="n"/>
      <c r="AG41" s="255" t="n"/>
      <c r="AH41" s="256" t="n"/>
      <c r="AI41" s="253" t="n"/>
    </row>
    <row r="42" hidden="1" outlineLevel="1" s="592">
      <c r="A42" s="241">
        <f>$A32&amp;"."&amp;10</f>
        <v/>
      </c>
      <c r="B42" s="241" t="n"/>
      <c r="C42" s="255">
        <f>$C$32</f>
        <v/>
      </c>
      <c r="D42" s="243" t="n"/>
      <c r="E42" s="244">
        <f>ROUNDUP(IF(J42=0,0,J42)*IF(K42&gt;0,K42,1)*IF(F42&gt;0,F42,1)*IF(H42&gt;0,H42,1),0)</f>
        <v/>
      </c>
      <c r="F42" s="245" t="n"/>
      <c r="G42" s="243" t="n"/>
      <c r="H42" s="245" t="n"/>
      <c r="I42" s="243" t="n"/>
      <c r="J42" s="246" t="n"/>
      <c r="K42" s="247" t="n"/>
      <c r="L42" s="248">
        <f>ROUNDUP(IF(Q42=0,0,Q42)*IF(R42&gt;0,R42,1)*IF(M42&gt;0,M42,1)*IF(O42&gt;0,O42,1),0)</f>
        <v/>
      </c>
      <c r="M42" s="245">
        <f>F42</f>
        <v/>
      </c>
      <c r="N42" s="243">
        <f>G42</f>
        <v/>
      </c>
      <c r="O42" s="245">
        <f>H42</f>
        <v/>
      </c>
      <c r="P42" s="243">
        <f>I42</f>
        <v/>
      </c>
      <c r="Q42" s="246">
        <f>J42</f>
        <v/>
      </c>
      <c r="R42" s="247">
        <f>K42</f>
        <v/>
      </c>
      <c r="S42" s="243" t="n"/>
      <c r="T42" s="249">
        <f>ROUNDUP(IF(Y42=0,0,Y42)*IF(Z42&gt;0,Z42,1)*IF(U42&gt;0,U42,1)*IF(W42&gt;0,W42,1),0)</f>
        <v/>
      </c>
      <c r="U42" s="245">
        <f>M42</f>
        <v/>
      </c>
      <c r="V42" s="243">
        <f>N42</f>
        <v/>
      </c>
      <c r="W42" s="245">
        <f>O42</f>
        <v/>
      </c>
      <c r="X42" s="243">
        <f>P42</f>
        <v/>
      </c>
      <c r="Y42" s="246">
        <f>Q42</f>
        <v/>
      </c>
      <c r="Z42" s="247">
        <f>R42</f>
        <v/>
      </c>
      <c r="AA42" s="243" t="n"/>
      <c r="AB42" s="254" t="n"/>
      <c r="AC42" s="254" t="n"/>
      <c r="AD42" s="254" t="n"/>
      <c r="AE42" s="254" t="n"/>
      <c r="AF42" s="254" t="n"/>
      <c r="AG42" s="255" t="n"/>
      <c r="AH42" s="256" t="n"/>
      <c r="AI42" s="253" t="n"/>
    </row>
    <row r="43" hidden="1" outlineLevel="1" s="592">
      <c r="A43" s="241">
        <f>$A32&amp;"."&amp;11</f>
        <v/>
      </c>
      <c r="B43" s="241" t="n"/>
      <c r="C43" s="255">
        <f>$C$32</f>
        <v/>
      </c>
      <c r="D43" s="243" t="n"/>
      <c r="E43" s="244">
        <f>ROUNDUP(IF(J43=0,0,J43)*IF(K43&gt;0,K43,1)*IF(F43&gt;0,F43,1)*IF(H43&gt;0,H43,1),0)</f>
        <v/>
      </c>
      <c r="F43" s="245" t="n"/>
      <c r="G43" s="243" t="n"/>
      <c r="H43" s="245" t="n"/>
      <c r="I43" s="243" t="n"/>
      <c r="J43" s="246" t="n"/>
      <c r="K43" s="247" t="n"/>
      <c r="L43" s="248">
        <f>ROUNDUP(IF(Q43=0,0,Q43)*IF(R43&gt;0,R43,1)*IF(M43&gt;0,M43,1)*IF(O43&gt;0,O43,1),0)</f>
        <v/>
      </c>
      <c r="M43" s="245">
        <f>F43</f>
        <v/>
      </c>
      <c r="N43" s="243">
        <f>G43</f>
        <v/>
      </c>
      <c r="O43" s="245">
        <f>H43</f>
        <v/>
      </c>
      <c r="P43" s="243">
        <f>I43</f>
        <v/>
      </c>
      <c r="Q43" s="246">
        <f>J43</f>
        <v/>
      </c>
      <c r="R43" s="247">
        <f>K43</f>
        <v/>
      </c>
      <c r="S43" s="243" t="n"/>
      <c r="T43" s="249">
        <f>ROUNDUP(IF(Y43=0,0,Y43)*IF(Z43&gt;0,Z43,1)*IF(U43&gt;0,U43,1)*IF(W43&gt;0,W43,1),0)</f>
        <v/>
      </c>
      <c r="U43" s="245">
        <f>M43</f>
        <v/>
      </c>
      <c r="V43" s="243">
        <f>N43</f>
        <v/>
      </c>
      <c r="W43" s="245">
        <f>O43</f>
        <v/>
      </c>
      <c r="X43" s="243">
        <f>P43</f>
        <v/>
      </c>
      <c r="Y43" s="246">
        <f>Q43</f>
        <v/>
      </c>
      <c r="Z43" s="247">
        <f>R43</f>
        <v/>
      </c>
      <c r="AA43" s="243" t="n"/>
      <c r="AB43" s="254" t="n"/>
      <c r="AC43" s="254" t="n"/>
      <c r="AD43" s="254" t="n"/>
      <c r="AE43" s="254" t="n"/>
      <c r="AF43" s="254" t="n"/>
      <c r="AG43" s="255" t="n"/>
      <c r="AH43" s="256" t="n"/>
      <c r="AI43" s="253" t="n"/>
    </row>
    <row r="44" hidden="1" outlineLevel="1" s="592">
      <c r="A44" s="241">
        <f>$A32&amp;"."&amp;12</f>
        <v/>
      </c>
      <c r="B44" s="241" t="n"/>
      <c r="C44" s="255">
        <f>$C$32</f>
        <v/>
      </c>
      <c r="D44" s="243" t="n"/>
      <c r="E44" s="244">
        <f>ROUNDUP(IF(J44=0,0,J44)*IF(K44&gt;0,K44,1)*IF(F44&gt;0,F44,1)*IF(H44&gt;0,H44,1),0)</f>
        <v/>
      </c>
      <c r="F44" s="245" t="n"/>
      <c r="G44" s="243" t="n"/>
      <c r="H44" s="245" t="n"/>
      <c r="I44" s="243" t="n"/>
      <c r="J44" s="246" t="n"/>
      <c r="K44" s="247" t="n"/>
      <c r="L44" s="248">
        <f>ROUNDUP(IF(Q44=0,0,Q44)*IF(R44&gt;0,R44,1)*IF(M44&gt;0,M44,1)*IF(O44&gt;0,O44,1),0)</f>
        <v/>
      </c>
      <c r="M44" s="245">
        <f>F44</f>
        <v/>
      </c>
      <c r="N44" s="243">
        <f>G44</f>
        <v/>
      </c>
      <c r="O44" s="245">
        <f>H44</f>
        <v/>
      </c>
      <c r="P44" s="243">
        <f>I44</f>
        <v/>
      </c>
      <c r="Q44" s="246">
        <f>J44</f>
        <v/>
      </c>
      <c r="R44" s="247">
        <f>K44</f>
        <v/>
      </c>
      <c r="S44" s="243" t="n"/>
      <c r="T44" s="249">
        <f>ROUNDUP(IF(Y44=0,0,Y44)*IF(Z44&gt;0,Z44,1)*IF(U44&gt;0,U44,1)*IF(W44&gt;0,W44,1),0)</f>
        <v/>
      </c>
      <c r="U44" s="245">
        <f>M44</f>
        <v/>
      </c>
      <c r="V44" s="243">
        <f>N44</f>
        <v/>
      </c>
      <c r="W44" s="245">
        <f>O44</f>
        <v/>
      </c>
      <c r="X44" s="243">
        <f>P44</f>
        <v/>
      </c>
      <c r="Y44" s="246">
        <f>Q44</f>
        <v/>
      </c>
      <c r="Z44" s="247">
        <f>R44</f>
        <v/>
      </c>
      <c r="AA44" s="243" t="n"/>
      <c r="AB44" s="254" t="n"/>
      <c r="AC44" s="254" t="n"/>
      <c r="AD44" s="254" t="n"/>
      <c r="AE44" s="254" t="n"/>
      <c r="AF44" s="254" t="n"/>
      <c r="AG44" s="255" t="n"/>
      <c r="AH44" s="256" t="n"/>
      <c r="AI44" s="253" t="n"/>
    </row>
    <row r="45" hidden="1" outlineLevel="1" s="592">
      <c r="A45" s="241">
        <f>$A32&amp;"."&amp;13</f>
        <v/>
      </c>
      <c r="B45" s="241" t="n"/>
      <c r="C45" s="255">
        <f>$C$32</f>
        <v/>
      </c>
      <c r="D45" s="243" t="n"/>
      <c r="E45" s="244">
        <f>ROUNDUP(IF(J45=0,0,J45)*IF(K45&gt;0,K45,1)*IF(F45&gt;0,F45,1)*IF(H45&gt;0,H45,1),0)</f>
        <v/>
      </c>
      <c r="F45" s="245" t="n"/>
      <c r="G45" s="243" t="n"/>
      <c r="H45" s="245" t="n"/>
      <c r="I45" s="243" t="n"/>
      <c r="J45" s="246" t="n"/>
      <c r="K45" s="247" t="n"/>
      <c r="L45" s="248">
        <f>ROUNDUP(IF(Q45=0,0,Q45)*IF(R45&gt;0,R45,1)*IF(M45&gt;0,M45,1)*IF(O45&gt;0,O45,1),0)</f>
        <v/>
      </c>
      <c r="M45" s="245">
        <f>F45</f>
        <v/>
      </c>
      <c r="N45" s="243">
        <f>G45</f>
        <v/>
      </c>
      <c r="O45" s="245">
        <f>H45</f>
        <v/>
      </c>
      <c r="P45" s="243">
        <f>I45</f>
        <v/>
      </c>
      <c r="Q45" s="246">
        <f>J45</f>
        <v/>
      </c>
      <c r="R45" s="247">
        <f>K45</f>
        <v/>
      </c>
      <c r="S45" s="243" t="n"/>
      <c r="T45" s="249">
        <f>ROUNDUP(IF(Y45=0,0,Y45)*IF(Z45&gt;0,Z45,1)*IF(U45&gt;0,U45,1)*IF(W45&gt;0,W45,1),0)</f>
        <v/>
      </c>
      <c r="U45" s="245">
        <f>M45</f>
        <v/>
      </c>
      <c r="V45" s="243">
        <f>N45</f>
        <v/>
      </c>
      <c r="W45" s="245">
        <f>O45</f>
        <v/>
      </c>
      <c r="X45" s="243">
        <f>P45</f>
        <v/>
      </c>
      <c r="Y45" s="246">
        <f>Q45</f>
        <v/>
      </c>
      <c r="Z45" s="247">
        <f>R45</f>
        <v/>
      </c>
      <c r="AA45" s="243" t="n"/>
      <c r="AB45" s="254" t="n"/>
      <c r="AC45" s="254" t="n"/>
      <c r="AD45" s="254" t="n"/>
      <c r="AE45" s="254" t="n"/>
      <c r="AF45" s="254" t="n"/>
      <c r="AG45" s="255" t="n"/>
      <c r="AH45" s="256" t="n"/>
      <c r="AI45" s="253" t="n"/>
    </row>
    <row r="46" hidden="1" outlineLevel="1" s="592">
      <c r="A46" s="241">
        <f>$A32&amp;"."&amp;14</f>
        <v/>
      </c>
      <c r="B46" s="241" t="n"/>
      <c r="C46" s="255">
        <f>$C$32</f>
        <v/>
      </c>
      <c r="D46" s="243" t="n"/>
      <c r="E46" s="244">
        <f>ROUNDUP(IF(J46=0,0,J46)*IF(K46&gt;0,K46,1)*IF(F46&gt;0,F46,1)*IF(H46&gt;0,H46,1),0)</f>
        <v/>
      </c>
      <c r="F46" s="245" t="n"/>
      <c r="G46" s="243" t="n"/>
      <c r="H46" s="245" t="n"/>
      <c r="I46" s="243" t="n"/>
      <c r="J46" s="246" t="n"/>
      <c r="K46" s="247" t="n"/>
      <c r="L46" s="248">
        <f>ROUNDUP(IF(Q46=0,0,Q46)*IF(R46&gt;0,R46,1)*IF(M46&gt;0,M46,1)*IF(O46&gt;0,O46,1),0)</f>
        <v/>
      </c>
      <c r="M46" s="245">
        <f>F46</f>
        <v/>
      </c>
      <c r="N46" s="243">
        <f>G46</f>
        <v/>
      </c>
      <c r="O46" s="245">
        <f>H46</f>
        <v/>
      </c>
      <c r="P46" s="243">
        <f>I46</f>
        <v/>
      </c>
      <c r="Q46" s="246">
        <f>J46</f>
        <v/>
      </c>
      <c r="R46" s="247">
        <f>K46</f>
        <v/>
      </c>
      <c r="S46" s="243" t="n"/>
      <c r="T46" s="249">
        <f>ROUNDUP(IF(Y46=0,0,Y46)*IF(Z46&gt;0,Z46,1)*IF(U46&gt;0,U46,1)*IF(W46&gt;0,W46,1),0)</f>
        <v/>
      </c>
      <c r="U46" s="245">
        <f>M46</f>
        <v/>
      </c>
      <c r="V46" s="243">
        <f>N46</f>
        <v/>
      </c>
      <c r="W46" s="245">
        <f>O46</f>
        <v/>
      </c>
      <c r="X46" s="243">
        <f>P46</f>
        <v/>
      </c>
      <c r="Y46" s="246">
        <f>Q46</f>
        <v/>
      </c>
      <c r="Z46" s="247">
        <f>R46</f>
        <v/>
      </c>
      <c r="AA46" s="243" t="n"/>
      <c r="AB46" s="254" t="n"/>
      <c r="AC46" s="254" t="n"/>
      <c r="AD46" s="254" t="n"/>
      <c r="AE46" s="254" t="n"/>
      <c r="AF46" s="254" t="n"/>
      <c r="AG46" s="255" t="n"/>
      <c r="AH46" s="256" t="n"/>
      <c r="AI46" s="253" t="n"/>
    </row>
    <row r="47" hidden="1" outlineLevel="1" s="592">
      <c r="A47" s="241">
        <f>$A32&amp;"."&amp;15</f>
        <v/>
      </c>
      <c r="B47" s="241" t="n"/>
      <c r="C47" s="255">
        <f>$C$32</f>
        <v/>
      </c>
      <c r="D47" s="243" t="n"/>
      <c r="E47" s="244">
        <f>ROUNDUP(IF(J47=0,0,J47)*IF(K47&gt;0,K47,1)*IF(F47&gt;0,F47,1)*IF(H47&gt;0,H47,1),0)</f>
        <v/>
      </c>
      <c r="F47" s="245" t="n"/>
      <c r="G47" s="243" t="n"/>
      <c r="H47" s="245" t="n"/>
      <c r="I47" s="243" t="n"/>
      <c r="J47" s="246" t="n"/>
      <c r="K47" s="247" t="n"/>
      <c r="L47" s="248">
        <f>ROUNDUP(IF(Q47=0,0,Q47)*IF(R47&gt;0,R47,1)*IF(M47&gt;0,M47,1)*IF(O47&gt;0,O47,1),0)</f>
        <v/>
      </c>
      <c r="M47" s="245">
        <f>F47</f>
        <v/>
      </c>
      <c r="N47" s="243">
        <f>G47</f>
        <v/>
      </c>
      <c r="O47" s="245">
        <f>H47</f>
        <v/>
      </c>
      <c r="P47" s="243">
        <f>I47</f>
        <v/>
      </c>
      <c r="Q47" s="246">
        <f>J47</f>
        <v/>
      </c>
      <c r="R47" s="247">
        <f>K47</f>
        <v/>
      </c>
      <c r="S47" s="243" t="n"/>
      <c r="T47" s="249">
        <f>ROUNDUP(IF(Y47=0,0,Y47)*IF(Z47&gt;0,Z47,1)*IF(U47&gt;0,U47,1)*IF(W47&gt;0,W47,1),0)</f>
        <v/>
      </c>
      <c r="U47" s="245">
        <f>M47</f>
        <v/>
      </c>
      <c r="V47" s="243">
        <f>N47</f>
        <v/>
      </c>
      <c r="W47" s="245">
        <f>O47</f>
        <v/>
      </c>
      <c r="X47" s="243">
        <f>P47</f>
        <v/>
      </c>
      <c r="Y47" s="246">
        <f>Q47</f>
        <v/>
      </c>
      <c r="Z47" s="247">
        <f>R47</f>
        <v/>
      </c>
      <c r="AA47" s="243" t="n"/>
      <c r="AB47" s="254" t="n"/>
      <c r="AC47" s="254" t="n"/>
      <c r="AD47" s="254" t="n"/>
      <c r="AE47" s="254" t="n"/>
      <c r="AF47" s="254" t="n"/>
      <c r="AG47" s="255" t="n"/>
      <c r="AH47" s="256" t="n"/>
      <c r="AI47" s="253" t="n"/>
    </row>
    <row r="48" hidden="1" outlineLevel="1" s="592">
      <c r="A48" s="241">
        <f>$A32&amp;"."&amp;16</f>
        <v/>
      </c>
      <c r="B48" s="241" t="n"/>
      <c r="C48" s="255">
        <f>$C$32</f>
        <v/>
      </c>
      <c r="D48" s="243" t="n"/>
      <c r="E48" s="244">
        <f>ROUNDUP(IF(J48=0,0,J48)*IF(K48&gt;0,K48,1)*IF(F48&gt;0,F48,1)*IF(H48&gt;0,H48,1),0)</f>
        <v/>
      </c>
      <c r="F48" s="245" t="n"/>
      <c r="G48" s="243" t="n"/>
      <c r="H48" s="245" t="n"/>
      <c r="I48" s="243" t="n"/>
      <c r="J48" s="246" t="n"/>
      <c r="K48" s="247" t="n"/>
      <c r="L48" s="248">
        <f>ROUNDUP(IF(Q48=0,0,Q48)*IF(R48&gt;0,R48,1)*IF(M48&gt;0,M48,1)*IF(O48&gt;0,O48,1),0)</f>
        <v/>
      </c>
      <c r="M48" s="245">
        <f>F48</f>
        <v/>
      </c>
      <c r="N48" s="243">
        <f>G48</f>
        <v/>
      </c>
      <c r="O48" s="245">
        <f>H48</f>
        <v/>
      </c>
      <c r="P48" s="243">
        <f>I48</f>
        <v/>
      </c>
      <c r="Q48" s="246">
        <f>J48</f>
        <v/>
      </c>
      <c r="R48" s="247">
        <f>K48</f>
        <v/>
      </c>
      <c r="S48" s="243" t="n"/>
      <c r="T48" s="249">
        <f>ROUNDUP(IF(Y48=0,0,Y48)*IF(Z48&gt;0,Z48,1)*IF(U48&gt;0,U48,1)*IF(W48&gt;0,W48,1),0)</f>
        <v/>
      </c>
      <c r="U48" s="245">
        <f>M48</f>
        <v/>
      </c>
      <c r="V48" s="243">
        <f>N48</f>
        <v/>
      </c>
      <c r="W48" s="245">
        <f>O48</f>
        <v/>
      </c>
      <c r="X48" s="243">
        <f>P48</f>
        <v/>
      </c>
      <c r="Y48" s="246">
        <f>Q48</f>
        <v/>
      </c>
      <c r="Z48" s="247">
        <f>R48</f>
        <v/>
      </c>
      <c r="AA48" s="243" t="n"/>
      <c r="AB48" s="254" t="n"/>
      <c r="AC48" s="254" t="n"/>
      <c r="AD48" s="254" t="n"/>
      <c r="AE48" s="254" t="n"/>
      <c r="AF48" s="254" t="n"/>
      <c r="AG48" s="255" t="n"/>
      <c r="AH48" s="256" t="n"/>
      <c r="AI48" s="253" t="n"/>
    </row>
    <row r="49" hidden="1" outlineLevel="1" s="592">
      <c r="A49" s="241">
        <f>$A32&amp;"."&amp;17</f>
        <v/>
      </c>
      <c r="B49" s="241" t="n"/>
      <c r="C49" s="255">
        <f>$C$32</f>
        <v/>
      </c>
      <c r="D49" s="243" t="n"/>
      <c r="E49" s="244">
        <f>ROUNDUP(IF(J49=0,0,J49)*IF(K49&gt;0,K49,1)*IF(F49&gt;0,F49,1)*IF(H49&gt;0,H49,1),0)</f>
        <v/>
      </c>
      <c r="F49" s="245" t="n"/>
      <c r="G49" s="243" t="n"/>
      <c r="H49" s="245" t="n"/>
      <c r="I49" s="243" t="n"/>
      <c r="J49" s="246" t="n"/>
      <c r="K49" s="247" t="n"/>
      <c r="L49" s="248">
        <f>ROUNDUP(IF(Q49=0,0,Q49)*IF(R49&gt;0,R49,1)*IF(M49&gt;0,M49,1)*IF(O49&gt;0,O49,1),0)</f>
        <v/>
      </c>
      <c r="M49" s="245">
        <f>F49</f>
        <v/>
      </c>
      <c r="N49" s="243">
        <f>G49</f>
        <v/>
      </c>
      <c r="O49" s="245">
        <f>H49</f>
        <v/>
      </c>
      <c r="P49" s="243">
        <f>I49</f>
        <v/>
      </c>
      <c r="Q49" s="246">
        <f>J49</f>
        <v/>
      </c>
      <c r="R49" s="247">
        <f>K49</f>
        <v/>
      </c>
      <c r="S49" s="243" t="n"/>
      <c r="T49" s="249">
        <f>ROUNDUP(IF(Y49=0,0,Y49)*IF(Z49&gt;0,Z49,1)*IF(U49&gt;0,U49,1)*IF(W49&gt;0,W49,1),0)</f>
        <v/>
      </c>
      <c r="U49" s="245">
        <f>M49</f>
        <v/>
      </c>
      <c r="V49" s="243">
        <f>N49</f>
        <v/>
      </c>
      <c r="W49" s="245">
        <f>O49</f>
        <v/>
      </c>
      <c r="X49" s="243">
        <f>P49</f>
        <v/>
      </c>
      <c r="Y49" s="246">
        <f>Q49</f>
        <v/>
      </c>
      <c r="Z49" s="247">
        <f>R49</f>
        <v/>
      </c>
      <c r="AA49" s="243" t="n"/>
      <c r="AB49" s="254" t="n"/>
      <c r="AC49" s="254" t="n"/>
      <c r="AD49" s="254" t="n"/>
      <c r="AE49" s="254" t="n"/>
      <c r="AF49" s="254" t="n"/>
      <c r="AG49" s="255" t="n"/>
      <c r="AH49" s="256" t="n"/>
      <c r="AI49" s="253" t="n"/>
    </row>
    <row r="50" hidden="1" outlineLevel="1" s="592">
      <c r="A50" s="241">
        <f>$A32&amp;"."&amp;18</f>
        <v/>
      </c>
      <c r="B50" s="241" t="n"/>
      <c r="C50" s="255">
        <f>$C$32</f>
        <v/>
      </c>
      <c r="D50" s="243" t="n"/>
      <c r="E50" s="244">
        <f>ROUNDUP(IF(J50=0,0,J50)*IF(K50&gt;0,K50,1)*IF(F50&gt;0,F50,1)*IF(H50&gt;0,H50,1),0)</f>
        <v/>
      </c>
      <c r="F50" s="245" t="n"/>
      <c r="G50" s="243" t="n"/>
      <c r="H50" s="245" t="n"/>
      <c r="I50" s="243" t="n"/>
      <c r="J50" s="246" t="n"/>
      <c r="K50" s="247" t="n"/>
      <c r="L50" s="248">
        <f>ROUNDUP(IF(Q50=0,0,Q50)*IF(R50&gt;0,R50,1)*IF(M50&gt;0,M50,1)*IF(O50&gt;0,O50,1),0)</f>
        <v/>
      </c>
      <c r="M50" s="245">
        <f>F50</f>
        <v/>
      </c>
      <c r="N50" s="243">
        <f>G50</f>
        <v/>
      </c>
      <c r="O50" s="245">
        <f>H50</f>
        <v/>
      </c>
      <c r="P50" s="243">
        <f>I50</f>
        <v/>
      </c>
      <c r="Q50" s="246">
        <f>J50</f>
        <v/>
      </c>
      <c r="R50" s="247">
        <f>K50</f>
        <v/>
      </c>
      <c r="S50" s="243" t="n"/>
      <c r="T50" s="249">
        <f>ROUNDUP(IF(Y50=0,0,Y50)*IF(Z50&gt;0,Z50,1)*IF(U50&gt;0,U50,1)*IF(W50&gt;0,W50,1),0)</f>
        <v/>
      </c>
      <c r="U50" s="245">
        <f>M50</f>
        <v/>
      </c>
      <c r="V50" s="243">
        <f>N50</f>
        <v/>
      </c>
      <c r="W50" s="245">
        <f>O50</f>
        <v/>
      </c>
      <c r="X50" s="243">
        <f>P50</f>
        <v/>
      </c>
      <c r="Y50" s="246">
        <f>Q50</f>
        <v/>
      </c>
      <c r="Z50" s="247">
        <f>R50</f>
        <v/>
      </c>
      <c r="AA50" s="243" t="n"/>
      <c r="AB50" s="254" t="n"/>
      <c r="AC50" s="254" t="n"/>
      <c r="AD50" s="254" t="n"/>
      <c r="AE50" s="254" t="n"/>
      <c r="AF50" s="254" t="n"/>
      <c r="AG50" s="255" t="n"/>
      <c r="AH50" s="256" t="n"/>
      <c r="AI50" s="253" t="n"/>
    </row>
    <row r="51" hidden="1" outlineLevel="1" s="592">
      <c r="A51" s="241">
        <f>$A32&amp;"."&amp;19</f>
        <v/>
      </c>
      <c r="B51" s="241" t="n"/>
      <c r="C51" s="255">
        <f>$C$32</f>
        <v/>
      </c>
      <c r="D51" s="243" t="n"/>
      <c r="E51" s="244">
        <f>ROUNDUP(IF(J51=0,0,J51)*IF(K51&gt;0,K51,1)*IF(F51&gt;0,F51,1)*IF(H51&gt;0,H51,1),0)</f>
        <v/>
      </c>
      <c r="F51" s="245" t="n"/>
      <c r="G51" s="243" t="n"/>
      <c r="H51" s="245" t="n"/>
      <c r="I51" s="243" t="n"/>
      <c r="J51" s="246" t="n"/>
      <c r="K51" s="247" t="n"/>
      <c r="L51" s="248">
        <f>ROUNDUP(IF(Q51=0,0,Q51)*IF(R51&gt;0,R51,1)*IF(M51&gt;0,M51,1)*IF(O51&gt;0,O51,1),0)</f>
        <v/>
      </c>
      <c r="M51" s="245">
        <f>F51</f>
        <v/>
      </c>
      <c r="N51" s="243">
        <f>G51</f>
        <v/>
      </c>
      <c r="O51" s="245">
        <f>H51</f>
        <v/>
      </c>
      <c r="P51" s="243">
        <f>I51</f>
        <v/>
      </c>
      <c r="Q51" s="246">
        <f>J51</f>
        <v/>
      </c>
      <c r="R51" s="247">
        <f>K51</f>
        <v/>
      </c>
      <c r="S51" s="243" t="n"/>
      <c r="T51" s="249">
        <f>ROUNDUP(IF(Y51=0,0,Y51)*IF(Z51&gt;0,Z51,1)*IF(U51&gt;0,U51,1)*IF(W51&gt;0,W51,1),0)</f>
        <v/>
      </c>
      <c r="U51" s="245">
        <f>M51</f>
        <v/>
      </c>
      <c r="V51" s="243">
        <f>N51</f>
        <v/>
      </c>
      <c r="W51" s="245">
        <f>O51</f>
        <v/>
      </c>
      <c r="X51" s="243">
        <f>P51</f>
        <v/>
      </c>
      <c r="Y51" s="246">
        <f>Q51</f>
        <v/>
      </c>
      <c r="Z51" s="247">
        <f>R51</f>
        <v/>
      </c>
      <c r="AA51" s="243" t="n"/>
      <c r="AB51" s="254" t="n"/>
      <c r="AC51" s="254" t="n"/>
      <c r="AD51" s="254" t="n"/>
      <c r="AE51" s="254" t="n"/>
      <c r="AF51" s="254" t="n"/>
      <c r="AG51" s="255" t="n"/>
      <c r="AH51" s="256" t="n"/>
      <c r="AI51" s="253" t="n"/>
    </row>
    <row r="52" hidden="1" outlineLevel="1" s="592">
      <c r="A52" s="241">
        <f>$A32&amp;"."&amp;20</f>
        <v/>
      </c>
      <c r="B52" s="241" t="n"/>
      <c r="C52" s="255">
        <f>$C$32</f>
        <v/>
      </c>
      <c r="D52" s="243" t="n"/>
      <c r="E52" s="244">
        <f>ROUNDUP(IF(J52=0,0,J52)*IF(K52&gt;0,K52,1)*IF(F52&gt;0,F52,1)*IF(H52&gt;0,H52,1),0)</f>
        <v/>
      </c>
      <c r="F52" s="245" t="n"/>
      <c r="G52" s="243" t="n"/>
      <c r="H52" s="245" t="n"/>
      <c r="I52" s="243" t="n"/>
      <c r="J52" s="246" t="n"/>
      <c r="K52" s="247" t="n"/>
      <c r="L52" s="248">
        <f>ROUNDUP(IF(Q52=0,0,Q52)*IF(R52&gt;0,R52,1)*IF(M52&gt;0,M52,1)*IF(O52&gt;0,O52,1),0)</f>
        <v/>
      </c>
      <c r="M52" s="245">
        <f>F52</f>
        <v/>
      </c>
      <c r="N52" s="243">
        <f>G52</f>
        <v/>
      </c>
      <c r="O52" s="245">
        <f>H52</f>
        <v/>
      </c>
      <c r="P52" s="243">
        <f>I52</f>
        <v/>
      </c>
      <c r="Q52" s="246">
        <f>J52</f>
        <v/>
      </c>
      <c r="R52" s="247">
        <f>K52</f>
        <v/>
      </c>
      <c r="S52" s="243" t="n"/>
      <c r="T52" s="249">
        <f>ROUNDUP(IF(Y52=0,0,Y52)*IF(Z52&gt;0,Z52,1)*IF(U52&gt;0,U52,1)*IF(W52&gt;0,W52,1),0)</f>
        <v/>
      </c>
      <c r="U52" s="245">
        <f>M52</f>
        <v/>
      </c>
      <c r="V52" s="243">
        <f>N52</f>
        <v/>
      </c>
      <c r="W52" s="245">
        <f>O52</f>
        <v/>
      </c>
      <c r="X52" s="243">
        <f>P52</f>
        <v/>
      </c>
      <c r="Y52" s="246">
        <f>Q52</f>
        <v/>
      </c>
      <c r="Z52" s="247">
        <f>R52</f>
        <v/>
      </c>
      <c r="AA52" s="243" t="n"/>
      <c r="AB52" s="254" t="n"/>
      <c r="AC52" s="254" t="n"/>
      <c r="AD52" s="254" t="n"/>
      <c r="AE52" s="254" t="n"/>
      <c r="AF52" s="254" t="n"/>
      <c r="AG52" s="255" t="n"/>
      <c r="AH52" s="256" t="n"/>
      <c r="AI52" s="253" t="n"/>
    </row>
    <row r="53" collapsed="1" s="592">
      <c r="A53" s="257" t="n">
        <v>3</v>
      </c>
      <c r="B53" s="230">
        <f>IFERROR(__xludf.DUMMYFUNCTION("VLOOKUP(C53,IMPORTRANGE(REF!$B$3,""FP!B:C""),2,0)"),"#N/A")</f>
        <v/>
      </c>
      <c r="C53" s="237" t="inlineStr">
        <is>
          <t>ชื่อกิจกรรมที่ 3</t>
        </is>
      </c>
      <c r="D53" s="232" t="n"/>
      <c r="E53" s="233">
        <f>SUM(E54:E73)</f>
        <v/>
      </c>
      <c r="F53" s="234" t="n"/>
      <c r="G53" s="235" t="n"/>
      <c r="H53" s="234" t="n"/>
      <c r="I53" s="235" t="n"/>
      <c r="J53" s="233" t="n"/>
      <c r="K53" s="236" t="n"/>
      <c r="L53" s="233">
        <f>SUM(L54:L73)</f>
        <v/>
      </c>
      <c r="M53" s="234" t="n"/>
      <c r="N53" s="235" t="n"/>
      <c r="O53" s="234" t="n"/>
      <c r="P53" s="235" t="n"/>
      <c r="Q53" s="233" t="n"/>
      <c r="R53" s="236" t="n"/>
      <c r="S53" s="235" t="n"/>
      <c r="T53" s="233">
        <f>SUM(T54:T73)</f>
        <v/>
      </c>
      <c r="U53" s="234" t="n"/>
      <c r="V53" s="235" t="n"/>
      <c r="W53" s="234" t="n"/>
      <c r="X53" s="235" t="n"/>
      <c r="Y53" s="233" t="n"/>
      <c r="Z53" s="236" t="n"/>
      <c r="AA53" s="235" t="n"/>
      <c r="AB53" s="237" t="n"/>
      <c r="AC53" s="237" t="n"/>
      <c r="AD53" s="237" t="n"/>
      <c r="AE53" s="237" t="n"/>
      <c r="AF53" s="237" t="n"/>
      <c r="AG53" s="238" t="b">
        <v>0</v>
      </c>
      <c r="AH53" s="239" t="n"/>
      <c r="AI53" s="253" t="n"/>
    </row>
    <row r="54" hidden="1" outlineLevel="1" s="592">
      <c r="A54" s="241">
        <f>$A53&amp;"."&amp;1</f>
        <v/>
      </c>
      <c r="B54" s="241" t="n"/>
      <c r="C54" s="255">
        <f>$C$53</f>
        <v/>
      </c>
      <c r="D54" s="243" t="n"/>
      <c r="E54" s="244">
        <f>ROUNDUP(IF(J54=0,0,J54)*IF(K54&gt;0,K54,1)*IF(F54&gt;0,F54,1)*IF(H54&gt;0,H54,1),0)</f>
        <v/>
      </c>
      <c r="F54" s="245" t="n"/>
      <c r="G54" s="243" t="n"/>
      <c r="H54" s="245" t="n"/>
      <c r="I54" s="243" t="n"/>
      <c r="J54" s="246" t="n"/>
      <c r="K54" s="247" t="n"/>
      <c r="L54" s="248">
        <f>ROUNDUP(IF(Q54=0,0,Q54)*IF(R54&gt;0,R54,1)*IF(M54&gt;0,M54,1)*IF(O54&gt;0,O54,1),0)</f>
        <v/>
      </c>
      <c r="M54" s="245">
        <f>F54</f>
        <v/>
      </c>
      <c r="N54" s="243">
        <f>G54</f>
        <v/>
      </c>
      <c r="O54" s="245">
        <f>H54</f>
        <v/>
      </c>
      <c r="P54" s="243">
        <f>I54</f>
        <v/>
      </c>
      <c r="Q54" s="246">
        <f>J54</f>
        <v/>
      </c>
      <c r="R54" s="247">
        <f>K54</f>
        <v/>
      </c>
      <c r="S54" s="243" t="n"/>
      <c r="T54" s="249">
        <f>ROUNDUP(IF(Y54=0,0,Y54)*IF(Z54&gt;0,Z54,1)*IF(U54&gt;0,U54,1)*IF(W54&gt;0,W54,1),0)</f>
        <v/>
      </c>
      <c r="U54" s="245">
        <f>M54</f>
        <v/>
      </c>
      <c r="V54" s="243">
        <f>N54</f>
        <v/>
      </c>
      <c r="W54" s="245">
        <f>O54</f>
        <v/>
      </c>
      <c r="X54" s="243">
        <f>P54</f>
        <v/>
      </c>
      <c r="Y54" s="246">
        <f>Q54</f>
        <v/>
      </c>
      <c r="Z54" s="247">
        <f>R54</f>
        <v/>
      </c>
      <c r="AA54" s="243" t="n"/>
      <c r="AB54" s="254" t="n"/>
      <c r="AC54" s="254" t="n"/>
      <c r="AD54" s="254" t="n"/>
      <c r="AE54" s="254" t="n"/>
      <c r="AF54" s="254" t="n"/>
      <c r="AG54" s="255" t="n"/>
      <c r="AH54" s="256" t="n"/>
      <c r="AI54" s="253" t="n"/>
    </row>
    <row r="55" hidden="1" outlineLevel="1" s="592">
      <c r="A55" s="241">
        <f>$A53&amp;"."&amp;2</f>
        <v/>
      </c>
      <c r="B55" s="241" t="n"/>
      <c r="C55" s="255">
        <f>$C$53</f>
        <v/>
      </c>
      <c r="D55" s="243" t="n"/>
      <c r="E55" s="244">
        <f>ROUNDUP(IF(J55=0,0,J55)*IF(K55&gt;0,K55,1)*IF(F55&gt;0,F55,1)*IF(H55&gt;0,H55,1),0)</f>
        <v/>
      </c>
      <c r="F55" s="245" t="n"/>
      <c r="G55" s="243" t="n"/>
      <c r="H55" s="245" t="n"/>
      <c r="I55" s="243" t="n"/>
      <c r="J55" s="246" t="n"/>
      <c r="K55" s="247" t="n"/>
      <c r="L55" s="248">
        <f>ROUNDUP(IF(Q55=0,0,Q55)*IF(R55&gt;0,R55,1)*IF(M55&gt;0,M55,1)*IF(O55&gt;0,O55,1),0)</f>
        <v/>
      </c>
      <c r="M55" s="245">
        <f>F55</f>
        <v/>
      </c>
      <c r="N55" s="243">
        <f>G55</f>
        <v/>
      </c>
      <c r="O55" s="245">
        <f>H55</f>
        <v/>
      </c>
      <c r="P55" s="243">
        <f>I55</f>
        <v/>
      </c>
      <c r="Q55" s="246">
        <f>J55</f>
        <v/>
      </c>
      <c r="R55" s="247">
        <f>K55</f>
        <v/>
      </c>
      <c r="S55" s="243" t="n"/>
      <c r="T55" s="249">
        <f>ROUNDUP(IF(Y55=0,0,Y55)*IF(Z55&gt;0,Z55,1)*IF(U55&gt;0,U55,1)*IF(W55&gt;0,W55,1),0)</f>
        <v/>
      </c>
      <c r="U55" s="245">
        <f>M55</f>
        <v/>
      </c>
      <c r="V55" s="243">
        <f>N55</f>
        <v/>
      </c>
      <c r="W55" s="245">
        <f>O55</f>
        <v/>
      </c>
      <c r="X55" s="243">
        <f>P55</f>
        <v/>
      </c>
      <c r="Y55" s="246">
        <f>Q55</f>
        <v/>
      </c>
      <c r="Z55" s="247">
        <f>R55</f>
        <v/>
      </c>
      <c r="AA55" s="243" t="n"/>
      <c r="AB55" s="254" t="n"/>
      <c r="AC55" s="254" t="n"/>
      <c r="AD55" s="254" t="n"/>
      <c r="AE55" s="254" t="n"/>
      <c r="AF55" s="254" t="n"/>
      <c r="AG55" s="255" t="n"/>
      <c r="AH55" s="256" t="n"/>
      <c r="AI55" s="253" t="n"/>
    </row>
    <row r="56" hidden="1" outlineLevel="1" s="592">
      <c r="A56" s="241">
        <f>$A53&amp;"."&amp;3</f>
        <v/>
      </c>
      <c r="B56" s="241" t="n"/>
      <c r="C56" s="255">
        <f>$C$53</f>
        <v/>
      </c>
      <c r="D56" s="243" t="n"/>
      <c r="E56" s="244">
        <f>ROUNDUP(IF(J56=0,0,J56)*IF(K56&gt;0,K56,1)*IF(F56&gt;0,F56,1)*IF(H56&gt;0,H56,1),0)</f>
        <v/>
      </c>
      <c r="F56" s="245" t="n"/>
      <c r="G56" s="243" t="n"/>
      <c r="H56" s="245" t="n"/>
      <c r="I56" s="243" t="n"/>
      <c r="J56" s="246" t="n"/>
      <c r="K56" s="247" t="n"/>
      <c r="L56" s="248">
        <f>ROUNDUP(IF(Q56=0,0,Q56)*IF(R56&gt;0,R56,1)*IF(M56&gt;0,M56,1)*IF(O56&gt;0,O56,1),0)</f>
        <v/>
      </c>
      <c r="M56" s="245">
        <f>F56</f>
        <v/>
      </c>
      <c r="N56" s="243">
        <f>G56</f>
        <v/>
      </c>
      <c r="O56" s="245">
        <f>H56</f>
        <v/>
      </c>
      <c r="P56" s="243">
        <f>I56</f>
        <v/>
      </c>
      <c r="Q56" s="246">
        <f>J56</f>
        <v/>
      </c>
      <c r="R56" s="247">
        <f>K56</f>
        <v/>
      </c>
      <c r="S56" s="243" t="n"/>
      <c r="T56" s="249">
        <f>ROUNDUP(IF(Y56=0,0,Y56)*IF(Z56&gt;0,Z56,1)*IF(U56&gt;0,U56,1)*IF(W56&gt;0,W56,1),0)</f>
        <v/>
      </c>
      <c r="U56" s="245">
        <f>M56</f>
        <v/>
      </c>
      <c r="V56" s="243">
        <f>N56</f>
        <v/>
      </c>
      <c r="W56" s="245">
        <f>O56</f>
        <v/>
      </c>
      <c r="X56" s="243">
        <f>P56</f>
        <v/>
      </c>
      <c r="Y56" s="246">
        <f>Q56</f>
        <v/>
      </c>
      <c r="Z56" s="247">
        <f>R56</f>
        <v/>
      </c>
      <c r="AA56" s="243" t="n"/>
      <c r="AB56" s="254" t="n"/>
      <c r="AC56" s="254" t="n"/>
      <c r="AD56" s="254" t="n"/>
      <c r="AE56" s="254" t="n"/>
      <c r="AF56" s="254" t="n"/>
      <c r="AG56" s="255" t="n"/>
      <c r="AH56" s="256" t="n"/>
      <c r="AI56" s="253" t="n"/>
    </row>
    <row r="57" hidden="1" outlineLevel="1" s="592">
      <c r="A57" s="241">
        <f>$A53&amp;"."&amp;4</f>
        <v/>
      </c>
      <c r="B57" s="241" t="n"/>
      <c r="C57" s="255">
        <f>$C$53</f>
        <v/>
      </c>
      <c r="D57" s="243" t="n"/>
      <c r="E57" s="244">
        <f>ROUNDUP(IF(J57=0,0,J57)*IF(K57&gt;0,K57,1)*IF(F57&gt;0,F57,1)*IF(H57&gt;0,H57,1),0)</f>
        <v/>
      </c>
      <c r="F57" s="245" t="n"/>
      <c r="G57" s="243" t="n"/>
      <c r="H57" s="245" t="n"/>
      <c r="I57" s="243" t="n"/>
      <c r="J57" s="246" t="n"/>
      <c r="K57" s="247" t="n"/>
      <c r="L57" s="248">
        <f>ROUNDUP(IF(Q57=0,0,Q57)*IF(R57&gt;0,R57,1)*IF(M57&gt;0,M57,1)*IF(O57&gt;0,O57,1),0)</f>
        <v/>
      </c>
      <c r="M57" s="245">
        <f>F57</f>
        <v/>
      </c>
      <c r="N57" s="243">
        <f>G57</f>
        <v/>
      </c>
      <c r="O57" s="245">
        <f>H57</f>
        <v/>
      </c>
      <c r="P57" s="243">
        <f>I57</f>
        <v/>
      </c>
      <c r="Q57" s="246">
        <f>J57</f>
        <v/>
      </c>
      <c r="R57" s="247">
        <f>K57</f>
        <v/>
      </c>
      <c r="S57" s="243" t="n"/>
      <c r="T57" s="249">
        <f>ROUNDUP(IF(Y57=0,0,Y57)*IF(Z57&gt;0,Z57,1)*IF(U57&gt;0,U57,1)*IF(W57&gt;0,W57,1),0)</f>
        <v/>
      </c>
      <c r="U57" s="245">
        <f>M57</f>
        <v/>
      </c>
      <c r="V57" s="243">
        <f>N57</f>
        <v/>
      </c>
      <c r="W57" s="245">
        <f>O57</f>
        <v/>
      </c>
      <c r="X57" s="243">
        <f>P57</f>
        <v/>
      </c>
      <c r="Y57" s="246">
        <f>Q57</f>
        <v/>
      </c>
      <c r="Z57" s="247">
        <f>R57</f>
        <v/>
      </c>
      <c r="AA57" s="243" t="n"/>
      <c r="AB57" s="254" t="n"/>
      <c r="AC57" s="254" t="n"/>
      <c r="AD57" s="254" t="n"/>
      <c r="AE57" s="254" t="n"/>
      <c r="AF57" s="254" t="n"/>
      <c r="AG57" s="255" t="n"/>
      <c r="AH57" s="256" t="n"/>
      <c r="AI57" s="253" t="n"/>
    </row>
    <row r="58" hidden="1" outlineLevel="1" s="592">
      <c r="A58" s="241">
        <f>$A53&amp;"."&amp;5</f>
        <v/>
      </c>
      <c r="B58" s="241" t="n"/>
      <c r="C58" s="255">
        <f>$C$53</f>
        <v/>
      </c>
      <c r="D58" s="243" t="n"/>
      <c r="E58" s="244">
        <f>ROUNDUP(IF(J58=0,0,J58)*IF(K58&gt;0,K58,1)*IF(F58&gt;0,F58,1)*IF(H58&gt;0,H58,1),0)</f>
        <v/>
      </c>
      <c r="F58" s="245" t="n"/>
      <c r="G58" s="243" t="n"/>
      <c r="H58" s="245" t="n"/>
      <c r="I58" s="243" t="n"/>
      <c r="J58" s="246" t="n"/>
      <c r="K58" s="247" t="n"/>
      <c r="L58" s="248">
        <f>ROUNDUP(IF(Q58=0,0,Q58)*IF(R58&gt;0,R58,1)*IF(M58&gt;0,M58,1)*IF(O58&gt;0,O58,1),0)</f>
        <v/>
      </c>
      <c r="M58" s="245">
        <f>F58</f>
        <v/>
      </c>
      <c r="N58" s="243">
        <f>G58</f>
        <v/>
      </c>
      <c r="O58" s="245">
        <f>H58</f>
        <v/>
      </c>
      <c r="P58" s="243">
        <f>I58</f>
        <v/>
      </c>
      <c r="Q58" s="246">
        <f>J58</f>
        <v/>
      </c>
      <c r="R58" s="247">
        <f>K58</f>
        <v/>
      </c>
      <c r="S58" s="243" t="n"/>
      <c r="T58" s="249">
        <f>ROUNDUP(IF(Y58=0,0,Y58)*IF(Z58&gt;0,Z58,1)*IF(U58&gt;0,U58,1)*IF(W58&gt;0,W58,1),0)</f>
        <v/>
      </c>
      <c r="U58" s="245">
        <f>M58</f>
        <v/>
      </c>
      <c r="V58" s="243">
        <f>N58</f>
        <v/>
      </c>
      <c r="W58" s="245">
        <f>O58</f>
        <v/>
      </c>
      <c r="X58" s="243">
        <f>P58</f>
        <v/>
      </c>
      <c r="Y58" s="246">
        <f>Q58</f>
        <v/>
      </c>
      <c r="Z58" s="247">
        <f>R58</f>
        <v/>
      </c>
      <c r="AA58" s="243" t="n"/>
      <c r="AB58" s="254" t="n"/>
      <c r="AC58" s="254" t="n"/>
      <c r="AD58" s="254" t="n"/>
      <c r="AE58" s="254" t="n"/>
      <c r="AF58" s="254" t="n"/>
      <c r="AG58" s="255" t="n"/>
      <c r="AH58" s="256" t="n"/>
      <c r="AI58" s="253" t="n"/>
    </row>
    <row r="59" hidden="1" outlineLevel="1" s="592">
      <c r="A59" s="241">
        <f>$A53&amp;"."&amp;6</f>
        <v/>
      </c>
      <c r="B59" s="241" t="n"/>
      <c r="C59" s="255">
        <f>$C$53</f>
        <v/>
      </c>
      <c r="D59" s="243" t="n"/>
      <c r="E59" s="244">
        <f>ROUNDUP(IF(J59=0,0,J59)*IF(K59&gt;0,K59,1)*IF(F59&gt;0,F59,1)*IF(H59&gt;0,H59,1),0)</f>
        <v/>
      </c>
      <c r="F59" s="245" t="n"/>
      <c r="G59" s="243" t="n"/>
      <c r="H59" s="245" t="n"/>
      <c r="I59" s="243" t="n"/>
      <c r="J59" s="246" t="n"/>
      <c r="K59" s="247" t="n"/>
      <c r="L59" s="248">
        <f>ROUNDUP(IF(Q59=0,0,Q59)*IF(R59&gt;0,R59,1)*IF(M59&gt;0,M59,1)*IF(O59&gt;0,O59,1),0)</f>
        <v/>
      </c>
      <c r="M59" s="245">
        <f>F59</f>
        <v/>
      </c>
      <c r="N59" s="243">
        <f>G59</f>
        <v/>
      </c>
      <c r="O59" s="245">
        <f>H59</f>
        <v/>
      </c>
      <c r="P59" s="243">
        <f>I59</f>
        <v/>
      </c>
      <c r="Q59" s="246">
        <f>J59</f>
        <v/>
      </c>
      <c r="R59" s="247">
        <f>K59</f>
        <v/>
      </c>
      <c r="S59" s="243" t="n"/>
      <c r="T59" s="249">
        <f>ROUNDUP(IF(Y59=0,0,Y59)*IF(Z59&gt;0,Z59,1)*IF(U59&gt;0,U59,1)*IF(W59&gt;0,W59,1),0)</f>
        <v/>
      </c>
      <c r="U59" s="245">
        <f>M59</f>
        <v/>
      </c>
      <c r="V59" s="243">
        <f>N59</f>
        <v/>
      </c>
      <c r="W59" s="245">
        <f>O59</f>
        <v/>
      </c>
      <c r="X59" s="243">
        <f>P59</f>
        <v/>
      </c>
      <c r="Y59" s="246">
        <f>Q59</f>
        <v/>
      </c>
      <c r="Z59" s="247">
        <f>R59</f>
        <v/>
      </c>
      <c r="AA59" s="243" t="n"/>
      <c r="AB59" s="254" t="n"/>
      <c r="AC59" s="254" t="n"/>
      <c r="AD59" s="254" t="n"/>
      <c r="AE59" s="254" t="n"/>
      <c r="AF59" s="254" t="n"/>
      <c r="AG59" s="255" t="n"/>
      <c r="AH59" s="256" t="n"/>
      <c r="AI59" s="253" t="n"/>
    </row>
    <row r="60" hidden="1" outlineLevel="1" s="592">
      <c r="A60" s="241">
        <f>$A53&amp;"."&amp;7</f>
        <v/>
      </c>
      <c r="B60" s="241" t="n"/>
      <c r="C60" s="255">
        <f>$C$53</f>
        <v/>
      </c>
      <c r="D60" s="243" t="n"/>
      <c r="E60" s="244">
        <f>ROUNDUP(IF(J60=0,0,J60)*IF(K60&gt;0,K60,1)*IF(F60&gt;0,F60,1)*IF(H60&gt;0,H60,1),0)</f>
        <v/>
      </c>
      <c r="F60" s="245" t="n"/>
      <c r="G60" s="243" t="n"/>
      <c r="H60" s="245" t="n"/>
      <c r="I60" s="243" t="n"/>
      <c r="J60" s="246" t="n"/>
      <c r="K60" s="247" t="n"/>
      <c r="L60" s="248">
        <f>ROUNDUP(IF(Q60=0,0,Q60)*IF(R60&gt;0,R60,1)*IF(M60&gt;0,M60,1)*IF(O60&gt;0,O60,1),0)</f>
        <v/>
      </c>
      <c r="M60" s="245">
        <f>F60</f>
        <v/>
      </c>
      <c r="N60" s="243">
        <f>G60</f>
        <v/>
      </c>
      <c r="O60" s="245">
        <f>H60</f>
        <v/>
      </c>
      <c r="P60" s="243">
        <f>I60</f>
        <v/>
      </c>
      <c r="Q60" s="246">
        <f>J60</f>
        <v/>
      </c>
      <c r="R60" s="247">
        <f>K60</f>
        <v/>
      </c>
      <c r="S60" s="243" t="n"/>
      <c r="T60" s="249">
        <f>ROUNDUP(IF(Y60=0,0,Y60)*IF(Z60&gt;0,Z60,1)*IF(U60&gt;0,U60,1)*IF(W60&gt;0,W60,1),0)</f>
        <v/>
      </c>
      <c r="U60" s="245">
        <f>M60</f>
        <v/>
      </c>
      <c r="V60" s="243">
        <f>N60</f>
        <v/>
      </c>
      <c r="W60" s="245">
        <f>O60</f>
        <v/>
      </c>
      <c r="X60" s="243">
        <f>P60</f>
        <v/>
      </c>
      <c r="Y60" s="246">
        <f>Q60</f>
        <v/>
      </c>
      <c r="Z60" s="247">
        <f>R60</f>
        <v/>
      </c>
      <c r="AA60" s="243" t="n"/>
      <c r="AB60" s="254" t="n"/>
      <c r="AC60" s="254" t="n"/>
      <c r="AD60" s="254" t="n"/>
      <c r="AE60" s="254" t="n"/>
      <c r="AF60" s="254" t="n"/>
      <c r="AG60" s="255" t="n"/>
      <c r="AH60" s="256" t="n"/>
      <c r="AI60" s="253" t="n"/>
    </row>
    <row r="61" hidden="1" outlineLevel="1" s="592">
      <c r="A61" s="241">
        <f>$A53&amp;"."&amp;8</f>
        <v/>
      </c>
      <c r="B61" s="241" t="n"/>
      <c r="C61" s="255">
        <f>$C$53</f>
        <v/>
      </c>
      <c r="D61" s="243" t="n"/>
      <c r="E61" s="244">
        <f>ROUNDUP(IF(J61=0,0,J61)*IF(K61&gt;0,K61,1)*IF(F61&gt;0,F61,1)*IF(H61&gt;0,H61,1),0)</f>
        <v/>
      </c>
      <c r="F61" s="245" t="n"/>
      <c r="G61" s="243" t="n"/>
      <c r="H61" s="245" t="n"/>
      <c r="I61" s="243" t="n"/>
      <c r="J61" s="246" t="n"/>
      <c r="K61" s="247" t="n"/>
      <c r="L61" s="248">
        <f>ROUNDUP(IF(Q61=0,0,Q61)*IF(R61&gt;0,R61,1)*IF(M61&gt;0,M61,1)*IF(O61&gt;0,O61,1),0)</f>
        <v/>
      </c>
      <c r="M61" s="245">
        <f>F61</f>
        <v/>
      </c>
      <c r="N61" s="243">
        <f>G61</f>
        <v/>
      </c>
      <c r="O61" s="245">
        <f>H61</f>
        <v/>
      </c>
      <c r="P61" s="243">
        <f>I61</f>
        <v/>
      </c>
      <c r="Q61" s="246">
        <f>J61</f>
        <v/>
      </c>
      <c r="R61" s="247">
        <f>K61</f>
        <v/>
      </c>
      <c r="S61" s="243" t="n"/>
      <c r="T61" s="249">
        <f>ROUNDUP(IF(Y61=0,0,Y61)*IF(Z61&gt;0,Z61,1)*IF(U61&gt;0,U61,1)*IF(W61&gt;0,W61,1),0)</f>
        <v/>
      </c>
      <c r="U61" s="245">
        <f>M61</f>
        <v/>
      </c>
      <c r="V61" s="243">
        <f>N61</f>
        <v/>
      </c>
      <c r="W61" s="245">
        <f>O61</f>
        <v/>
      </c>
      <c r="X61" s="243">
        <f>P61</f>
        <v/>
      </c>
      <c r="Y61" s="246">
        <f>Q61</f>
        <v/>
      </c>
      <c r="Z61" s="247">
        <f>R61</f>
        <v/>
      </c>
      <c r="AA61" s="243" t="n"/>
      <c r="AB61" s="254" t="n"/>
      <c r="AC61" s="254" t="n"/>
      <c r="AD61" s="254" t="n"/>
      <c r="AE61" s="254" t="n"/>
      <c r="AF61" s="254" t="n"/>
      <c r="AG61" s="255" t="n"/>
      <c r="AH61" s="256" t="n"/>
      <c r="AI61" s="253" t="n"/>
    </row>
    <row r="62" hidden="1" outlineLevel="1" s="592">
      <c r="A62" s="241">
        <f>$A53&amp;"."&amp;9</f>
        <v/>
      </c>
      <c r="B62" s="241" t="n"/>
      <c r="C62" s="255">
        <f>$C$53</f>
        <v/>
      </c>
      <c r="D62" s="243" t="n"/>
      <c r="E62" s="244">
        <f>ROUNDUP(IF(J62=0,0,J62)*IF(K62&gt;0,K62,1)*IF(F62&gt;0,F62,1)*IF(H62&gt;0,H62,1),0)</f>
        <v/>
      </c>
      <c r="F62" s="245" t="n"/>
      <c r="G62" s="243" t="n"/>
      <c r="H62" s="245" t="n"/>
      <c r="I62" s="243" t="n"/>
      <c r="J62" s="246" t="n"/>
      <c r="K62" s="247" t="n"/>
      <c r="L62" s="248">
        <f>ROUNDUP(IF(Q62=0,0,Q62)*IF(R62&gt;0,R62,1)*IF(M62&gt;0,M62,1)*IF(O62&gt;0,O62,1),0)</f>
        <v/>
      </c>
      <c r="M62" s="245">
        <f>F62</f>
        <v/>
      </c>
      <c r="N62" s="243">
        <f>G62</f>
        <v/>
      </c>
      <c r="O62" s="245">
        <f>H62</f>
        <v/>
      </c>
      <c r="P62" s="243">
        <f>I62</f>
        <v/>
      </c>
      <c r="Q62" s="246">
        <f>J62</f>
        <v/>
      </c>
      <c r="R62" s="247">
        <f>K62</f>
        <v/>
      </c>
      <c r="S62" s="243" t="n"/>
      <c r="T62" s="249">
        <f>ROUNDUP(IF(Y62=0,0,Y62)*IF(Z62&gt;0,Z62,1)*IF(U62&gt;0,U62,1)*IF(W62&gt;0,W62,1),0)</f>
        <v/>
      </c>
      <c r="U62" s="245">
        <f>M62</f>
        <v/>
      </c>
      <c r="V62" s="243">
        <f>N62</f>
        <v/>
      </c>
      <c r="W62" s="245">
        <f>O62</f>
        <v/>
      </c>
      <c r="X62" s="243">
        <f>P62</f>
        <v/>
      </c>
      <c r="Y62" s="246">
        <f>Q62</f>
        <v/>
      </c>
      <c r="Z62" s="247">
        <f>R62</f>
        <v/>
      </c>
      <c r="AA62" s="243" t="n"/>
      <c r="AB62" s="254" t="n"/>
      <c r="AC62" s="254" t="n"/>
      <c r="AD62" s="254" t="n"/>
      <c r="AE62" s="254" t="n"/>
      <c r="AF62" s="254" t="n"/>
      <c r="AG62" s="255" t="n"/>
      <c r="AH62" s="256" t="n"/>
      <c r="AI62" s="253" t="n"/>
    </row>
    <row r="63" hidden="1" outlineLevel="1" s="592">
      <c r="A63" s="241">
        <f>$A53&amp;"."&amp;10</f>
        <v/>
      </c>
      <c r="B63" s="241" t="n"/>
      <c r="C63" s="255">
        <f>$C$53</f>
        <v/>
      </c>
      <c r="D63" s="243" t="n"/>
      <c r="E63" s="244">
        <f>ROUNDUP(IF(J63=0,0,J63)*IF(K63&gt;0,K63,1)*IF(F63&gt;0,F63,1)*IF(H63&gt;0,H63,1),0)</f>
        <v/>
      </c>
      <c r="F63" s="245" t="n"/>
      <c r="G63" s="243" t="n"/>
      <c r="H63" s="245" t="n"/>
      <c r="I63" s="243" t="n"/>
      <c r="J63" s="246" t="n"/>
      <c r="K63" s="247" t="n"/>
      <c r="L63" s="248">
        <f>ROUNDUP(IF(Q63=0,0,Q63)*IF(R63&gt;0,R63,1)*IF(M63&gt;0,M63,1)*IF(O63&gt;0,O63,1),0)</f>
        <v/>
      </c>
      <c r="M63" s="245">
        <f>F63</f>
        <v/>
      </c>
      <c r="N63" s="243">
        <f>G63</f>
        <v/>
      </c>
      <c r="O63" s="245">
        <f>H63</f>
        <v/>
      </c>
      <c r="P63" s="243">
        <f>I63</f>
        <v/>
      </c>
      <c r="Q63" s="246">
        <f>J63</f>
        <v/>
      </c>
      <c r="R63" s="247">
        <f>K63</f>
        <v/>
      </c>
      <c r="S63" s="243" t="n"/>
      <c r="T63" s="249">
        <f>ROUNDUP(IF(Y63=0,0,Y63)*IF(Z63&gt;0,Z63,1)*IF(U63&gt;0,U63,1)*IF(W63&gt;0,W63,1),0)</f>
        <v/>
      </c>
      <c r="U63" s="245">
        <f>M63</f>
        <v/>
      </c>
      <c r="V63" s="243">
        <f>N63</f>
        <v/>
      </c>
      <c r="W63" s="245">
        <f>O63</f>
        <v/>
      </c>
      <c r="X63" s="243">
        <f>P63</f>
        <v/>
      </c>
      <c r="Y63" s="246">
        <f>Q63</f>
        <v/>
      </c>
      <c r="Z63" s="247">
        <f>R63</f>
        <v/>
      </c>
      <c r="AA63" s="243" t="n"/>
      <c r="AB63" s="254" t="n"/>
      <c r="AC63" s="254" t="n"/>
      <c r="AD63" s="254" t="n"/>
      <c r="AE63" s="254" t="n"/>
      <c r="AF63" s="254" t="n"/>
      <c r="AG63" s="255" t="n"/>
      <c r="AH63" s="256" t="n"/>
      <c r="AI63" s="253" t="n"/>
    </row>
    <row r="64" hidden="1" outlineLevel="1" s="592">
      <c r="A64" s="241">
        <f>$A53&amp;"."&amp;11</f>
        <v/>
      </c>
      <c r="B64" s="241" t="n"/>
      <c r="C64" s="255">
        <f>$C$53</f>
        <v/>
      </c>
      <c r="D64" s="243" t="n"/>
      <c r="E64" s="244">
        <f>ROUNDUP(IF(J64=0,0,J64)*IF(K64&gt;0,K64,1)*IF(F64&gt;0,F64,1)*IF(H64&gt;0,H64,1),0)</f>
        <v/>
      </c>
      <c r="F64" s="245" t="n"/>
      <c r="G64" s="243" t="n"/>
      <c r="H64" s="245" t="n"/>
      <c r="I64" s="243" t="n"/>
      <c r="J64" s="246" t="n"/>
      <c r="K64" s="247" t="n"/>
      <c r="L64" s="248">
        <f>ROUNDUP(IF(Q64=0,0,Q64)*IF(R64&gt;0,R64,1)*IF(M64&gt;0,M64,1)*IF(O64&gt;0,O64,1),0)</f>
        <v/>
      </c>
      <c r="M64" s="245">
        <f>F64</f>
        <v/>
      </c>
      <c r="N64" s="243">
        <f>G64</f>
        <v/>
      </c>
      <c r="O64" s="245">
        <f>H64</f>
        <v/>
      </c>
      <c r="P64" s="243">
        <f>I64</f>
        <v/>
      </c>
      <c r="Q64" s="246">
        <f>J64</f>
        <v/>
      </c>
      <c r="R64" s="247">
        <f>K64</f>
        <v/>
      </c>
      <c r="S64" s="243" t="n"/>
      <c r="T64" s="249">
        <f>ROUNDUP(IF(Y64=0,0,Y64)*IF(Z64&gt;0,Z64,1)*IF(U64&gt;0,U64,1)*IF(W64&gt;0,W64,1),0)</f>
        <v/>
      </c>
      <c r="U64" s="245">
        <f>M64</f>
        <v/>
      </c>
      <c r="V64" s="243">
        <f>N64</f>
        <v/>
      </c>
      <c r="W64" s="245">
        <f>O64</f>
        <v/>
      </c>
      <c r="X64" s="243">
        <f>P64</f>
        <v/>
      </c>
      <c r="Y64" s="246">
        <f>Q64</f>
        <v/>
      </c>
      <c r="Z64" s="247">
        <f>R64</f>
        <v/>
      </c>
      <c r="AA64" s="243" t="n"/>
      <c r="AB64" s="254" t="n"/>
      <c r="AC64" s="254" t="n"/>
      <c r="AD64" s="254" t="n"/>
      <c r="AE64" s="254" t="n"/>
      <c r="AF64" s="254" t="n"/>
      <c r="AG64" s="255" t="n"/>
      <c r="AH64" s="256" t="n"/>
      <c r="AI64" s="253" t="n"/>
    </row>
    <row r="65" hidden="1" outlineLevel="1" s="592">
      <c r="A65" s="241">
        <f>$A53&amp;"."&amp;12</f>
        <v/>
      </c>
      <c r="B65" s="241" t="n"/>
      <c r="C65" s="255">
        <f>$C$53</f>
        <v/>
      </c>
      <c r="D65" s="243" t="n"/>
      <c r="E65" s="244">
        <f>ROUNDUP(IF(J65=0,0,J65)*IF(K65&gt;0,K65,1)*IF(F65&gt;0,F65,1)*IF(H65&gt;0,H65,1),0)</f>
        <v/>
      </c>
      <c r="F65" s="245" t="n"/>
      <c r="G65" s="243" t="n"/>
      <c r="H65" s="245" t="n"/>
      <c r="I65" s="243" t="n"/>
      <c r="J65" s="246" t="n"/>
      <c r="K65" s="247" t="n"/>
      <c r="L65" s="248">
        <f>ROUNDUP(IF(Q65=0,0,Q65)*IF(R65&gt;0,R65,1)*IF(M65&gt;0,M65,1)*IF(O65&gt;0,O65,1),0)</f>
        <v/>
      </c>
      <c r="M65" s="245">
        <f>F65</f>
        <v/>
      </c>
      <c r="N65" s="243">
        <f>G65</f>
        <v/>
      </c>
      <c r="O65" s="245">
        <f>H65</f>
        <v/>
      </c>
      <c r="P65" s="243">
        <f>I65</f>
        <v/>
      </c>
      <c r="Q65" s="246">
        <f>J65</f>
        <v/>
      </c>
      <c r="R65" s="247">
        <f>K65</f>
        <v/>
      </c>
      <c r="S65" s="243" t="n"/>
      <c r="T65" s="249">
        <f>ROUNDUP(IF(Y65=0,0,Y65)*IF(Z65&gt;0,Z65,1)*IF(U65&gt;0,U65,1)*IF(W65&gt;0,W65,1),0)</f>
        <v/>
      </c>
      <c r="U65" s="245">
        <f>M65</f>
        <v/>
      </c>
      <c r="V65" s="243">
        <f>N65</f>
        <v/>
      </c>
      <c r="W65" s="245">
        <f>O65</f>
        <v/>
      </c>
      <c r="X65" s="243">
        <f>P65</f>
        <v/>
      </c>
      <c r="Y65" s="246">
        <f>Q65</f>
        <v/>
      </c>
      <c r="Z65" s="247">
        <f>R65</f>
        <v/>
      </c>
      <c r="AA65" s="243" t="n"/>
      <c r="AB65" s="254" t="n"/>
      <c r="AC65" s="254" t="n"/>
      <c r="AD65" s="254" t="n"/>
      <c r="AE65" s="254" t="n"/>
      <c r="AF65" s="254" t="n"/>
      <c r="AG65" s="255" t="n"/>
      <c r="AH65" s="256" t="n"/>
      <c r="AI65" s="253" t="n"/>
    </row>
    <row r="66" hidden="1" outlineLevel="1" s="592">
      <c r="A66" s="241">
        <f>$A53&amp;"."&amp;13</f>
        <v/>
      </c>
      <c r="B66" s="241" t="n"/>
      <c r="C66" s="255">
        <f>$C$53</f>
        <v/>
      </c>
      <c r="D66" s="243" t="n"/>
      <c r="E66" s="244">
        <f>ROUNDUP(IF(J66=0,0,J66)*IF(K66&gt;0,K66,1)*IF(F66&gt;0,F66,1)*IF(H66&gt;0,H66,1),0)</f>
        <v/>
      </c>
      <c r="F66" s="245" t="n"/>
      <c r="G66" s="243" t="n"/>
      <c r="H66" s="245" t="n"/>
      <c r="I66" s="243" t="n"/>
      <c r="J66" s="246" t="n"/>
      <c r="K66" s="247" t="n"/>
      <c r="L66" s="248">
        <f>ROUNDUP(IF(Q66=0,0,Q66)*IF(R66&gt;0,R66,1)*IF(M66&gt;0,M66,1)*IF(O66&gt;0,O66,1),0)</f>
        <v/>
      </c>
      <c r="M66" s="245">
        <f>F66</f>
        <v/>
      </c>
      <c r="N66" s="243">
        <f>G66</f>
        <v/>
      </c>
      <c r="O66" s="245">
        <f>H66</f>
        <v/>
      </c>
      <c r="P66" s="243">
        <f>I66</f>
        <v/>
      </c>
      <c r="Q66" s="246">
        <f>J66</f>
        <v/>
      </c>
      <c r="R66" s="247">
        <f>K66</f>
        <v/>
      </c>
      <c r="S66" s="243" t="n"/>
      <c r="T66" s="249">
        <f>ROUNDUP(IF(Y66=0,0,Y66)*IF(Z66&gt;0,Z66,1)*IF(U66&gt;0,U66,1)*IF(W66&gt;0,W66,1),0)</f>
        <v/>
      </c>
      <c r="U66" s="245">
        <f>M66</f>
        <v/>
      </c>
      <c r="V66" s="243">
        <f>N66</f>
        <v/>
      </c>
      <c r="W66" s="245">
        <f>O66</f>
        <v/>
      </c>
      <c r="X66" s="243">
        <f>P66</f>
        <v/>
      </c>
      <c r="Y66" s="246">
        <f>Q66</f>
        <v/>
      </c>
      <c r="Z66" s="247">
        <f>R66</f>
        <v/>
      </c>
      <c r="AA66" s="243" t="n"/>
      <c r="AB66" s="254" t="n"/>
      <c r="AC66" s="254" t="n"/>
      <c r="AD66" s="254" t="n"/>
      <c r="AE66" s="254" t="n"/>
      <c r="AF66" s="254" t="n"/>
      <c r="AG66" s="255" t="n"/>
      <c r="AH66" s="256" t="n"/>
      <c r="AI66" s="253" t="n"/>
    </row>
    <row r="67" hidden="1" outlineLevel="1" s="592">
      <c r="A67" s="241">
        <f>$A53&amp;"."&amp;14</f>
        <v/>
      </c>
      <c r="B67" s="241" t="n"/>
      <c r="C67" s="255">
        <f>$C$53</f>
        <v/>
      </c>
      <c r="D67" s="243" t="n"/>
      <c r="E67" s="244">
        <f>ROUNDUP(IF(J67=0,0,J67)*IF(K67&gt;0,K67,1)*IF(F67&gt;0,F67,1)*IF(H67&gt;0,H67,1),0)</f>
        <v/>
      </c>
      <c r="F67" s="245" t="n"/>
      <c r="G67" s="243" t="n"/>
      <c r="H67" s="245" t="n"/>
      <c r="I67" s="243" t="n"/>
      <c r="J67" s="246" t="n"/>
      <c r="K67" s="247" t="n"/>
      <c r="L67" s="248">
        <f>ROUNDUP(IF(Q67=0,0,Q67)*IF(R67&gt;0,R67,1)*IF(M67&gt;0,M67,1)*IF(O67&gt;0,O67,1),0)</f>
        <v/>
      </c>
      <c r="M67" s="245">
        <f>F67</f>
        <v/>
      </c>
      <c r="N67" s="243">
        <f>G67</f>
        <v/>
      </c>
      <c r="O67" s="245">
        <f>H67</f>
        <v/>
      </c>
      <c r="P67" s="243">
        <f>I67</f>
        <v/>
      </c>
      <c r="Q67" s="246">
        <f>J67</f>
        <v/>
      </c>
      <c r="R67" s="247">
        <f>K67</f>
        <v/>
      </c>
      <c r="S67" s="243" t="n"/>
      <c r="T67" s="249">
        <f>ROUNDUP(IF(Y67=0,0,Y67)*IF(Z67&gt;0,Z67,1)*IF(U67&gt;0,U67,1)*IF(W67&gt;0,W67,1),0)</f>
        <v/>
      </c>
      <c r="U67" s="245">
        <f>M67</f>
        <v/>
      </c>
      <c r="V67" s="243">
        <f>N67</f>
        <v/>
      </c>
      <c r="W67" s="245">
        <f>O67</f>
        <v/>
      </c>
      <c r="X67" s="243">
        <f>P67</f>
        <v/>
      </c>
      <c r="Y67" s="246">
        <f>Q67</f>
        <v/>
      </c>
      <c r="Z67" s="247">
        <f>R67</f>
        <v/>
      </c>
      <c r="AA67" s="243" t="n"/>
      <c r="AB67" s="254" t="n"/>
      <c r="AC67" s="254" t="n"/>
      <c r="AD67" s="254" t="n"/>
      <c r="AE67" s="254" t="n"/>
      <c r="AF67" s="254" t="n"/>
      <c r="AG67" s="255" t="n"/>
      <c r="AH67" s="256" t="n"/>
      <c r="AI67" s="253" t="n"/>
    </row>
    <row r="68" hidden="1" outlineLevel="1" s="592">
      <c r="A68" s="241">
        <f>$A53&amp;"."&amp;15</f>
        <v/>
      </c>
      <c r="B68" s="241" t="n"/>
      <c r="C68" s="255">
        <f>$C$53</f>
        <v/>
      </c>
      <c r="D68" s="243" t="n"/>
      <c r="E68" s="244">
        <f>ROUNDUP(IF(J68=0,0,J68)*IF(K68&gt;0,K68,1)*IF(F68&gt;0,F68,1)*IF(H68&gt;0,H68,1),0)</f>
        <v/>
      </c>
      <c r="F68" s="245" t="n"/>
      <c r="G68" s="243" t="n"/>
      <c r="H68" s="245" t="n"/>
      <c r="I68" s="243" t="n"/>
      <c r="J68" s="246" t="n"/>
      <c r="K68" s="247" t="n"/>
      <c r="L68" s="248">
        <f>ROUNDUP(IF(Q68=0,0,Q68)*IF(R68&gt;0,R68,1)*IF(M68&gt;0,M68,1)*IF(O68&gt;0,O68,1),0)</f>
        <v/>
      </c>
      <c r="M68" s="245">
        <f>F68</f>
        <v/>
      </c>
      <c r="N68" s="243">
        <f>G68</f>
        <v/>
      </c>
      <c r="O68" s="245">
        <f>H68</f>
        <v/>
      </c>
      <c r="P68" s="243">
        <f>I68</f>
        <v/>
      </c>
      <c r="Q68" s="246">
        <f>J68</f>
        <v/>
      </c>
      <c r="R68" s="247">
        <f>K68</f>
        <v/>
      </c>
      <c r="S68" s="243" t="n"/>
      <c r="T68" s="249">
        <f>ROUNDUP(IF(Y68=0,0,Y68)*IF(Z68&gt;0,Z68,1)*IF(U68&gt;0,U68,1)*IF(W68&gt;0,W68,1),0)</f>
        <v/>
      </c>
      <c r="U68" s="245">
        <f>M68</f>
        <v/>
      </c>
      <c r="V68" s="243">
        <f>N68</f>
        <v/>
      </c>
      <c r="W68" s="245">
        <f>O68</f>
        <v/>
      </c>
      <c r="X68" s="243">
        <f>P68</f>
        <v/>
      </c>
      <c r="Y68" s="246">
        <f>Q68</f>
        <v/>
      </c>
      <c r="Z68" s="247">
        <f>R68</f>
        <v/>
      </c>
      <c r="AA68" s="243" t="n"/>
      <c r="AB68" s="254" t="n"/>
      <c r="AC68" s="254" t="n"/>
      <c r="AD68" s="254" t="n"/>
      <c r="AE68" s="254" t="n"/>
      <c r="AF68" s="254" t="n"/>
      <c r="AG68" s="255" t="n"/>
      <c r="AH68" s="256" t="n"/>
      <c r="AI68" s="253" t="n"/>
    </row>
    <row r="69" hidden="1" outlineLevel="1" s="592">
      <c r="A69" s="241">
        <f>$A53&amp;"."&amp;16</f>
        <v/>
      </c>
      <c r="B69" s="241" t="n"/>
      <c r="C69" s="255">
        <f>$C$53</f>
        <v/>
      </c>
      <c r="D69" s="243" t="n"/>
      <c r="E69" s="244">
        <f>ROUNDUP(IF(J69=0,0,J69)*IF(K69&gt;0,K69,1)*IF(F69&gt;0,F69,1)*IF(H69&gt;0,H69,1),0)</f>
        <v/>
      </c>
      <c r="F69" s="245" t="n"/>
      <c r="G69" s="243" t="n"/>
      <c r="H69" s="245" t="n"/>
      <c r="I69" s="243" t="n"/>
      <c r="J69" s="246" t="n"/>
      <c r="K69" s="247" t="n"/>
      <c r="L69" s="248">
        <f>ROUNDUP(IF(Q69=0,0,Q69)*IF(R69&gt;0,R69,1)*IF(M69&gt;0,M69,1)*IF(O69&gt;0,O69,1),0)</f>
        <v/>
      </c>
      <c r="M69" s="245">
        <f>F69</f>
        <v/>
      </c>
      <c r="N69" s="243">
        <f>G69</f>
        <v/>
      </c>
      <c r="O69" s="245">
        <f>H69</f>
        <v/>
      </c>
      <c r="P69" s="243">
        <f>I69</f>
        <v/>
      </c>
      <c r="Q69" s="246">
        <f>J69</f>
        <v/>
      </c>
      <c r="R69" s="247">
        <f>K69</f>
        <v/>
      </c>
      <c r="S69" s="243" t="n"/>
      <c r="T69" s="249">
        <f>ROUNDUP(IF(Y69=0,0,Y69)*IF(Z69&gt;0,Z69,1)*IF(U69&gt;0,U69,1)*IF(W69&gt;0,W69,1),0)</f>
        <v/>
      </c>
      <c r="U69" s="245">
        <f>M69</f>
        <v/>
      </c>
      <c r="V69" s="243">
        <f>N69</f>
        <v/>
      </c>
      <c r="W69" s="245">
        <f>O69</f>
        <v/>
      </c>
      <c r="X69" s="243">
        <f>P69</f>
        <v/>
      </c>
      <c r="Y69" s="246">
        <f>Q69</f>
        <v/>
      </c>
      <c r="Z69" s="247">
        <f>R69</f>
        <v/>
      </c>
      <c r="AA69" s="243" t="n"/>
      <c r="AB69" s="254" t="n"/>
      <c r="AC69" s="254" t="n"/>
      <c r="AD69" s="254" t="n"/>
      <c r="AE69" s="254" t="n"/>
      <c r="AF69" s="254" t="n"/>
      <c r="AG69" s="255" t="n"/>
      <c r="AH69" s="256" t="n"/>
      <c r="AI69" s="253" t="n"/>
    </row>
    <row r="70" hidden="1" outlineLevel="1" s="592">
      <c r="A70" s="241">
        <f>$A53&amp;"."&amp;17</f>
        <v/>
      </c>
      <c r="B70" s="241" t="n"/>
      <c r="C70" s="255">
        <f>$C$53</f>
        <v/>
      </c>
      <c r="D70" s="243" t="n"/>
      <c r="E70" s="244">
        <f>ROUNDUP(IF(J70=0,0,J70)*IF(K70&gt;0,K70,1)*IF(F70&gt;0,F70,1)*IF(H70&gt;0,H70,1),0)</f>
        <v/>
      </c>
      <c r="F70" s="245" t="n"/>
      <c r="G70" s="243" t="n"/>
      <c r="H70" s="245" t="n"/>
      <c r="I70" s="243" t="n"/>
      <c r="J70" s="246" t="n"/>
      <c r="K70" s="247" t="n"/>
      <c r="L70" s="248">
        <f>ROUNDUP(IF(Q70=0,0,Q70)*IF(R70&gt;0,R70,1)*IF(M70&gt;0,M70,1)*IF(O70&gt;0,O70,1),0)</f>
        <v/>
      </c>
      <c r="M70" s="245">
        <f>F70</f>
        <v/>
      </c>
      <c r="N70" s="243">
        <f>G70</f>
        <v/>
      </c>
      <c r="O70" s="245">
        <f>H70</f>
        <v/>
      </c>
      <c r="P70" s="243">
        <f>I70</f>
        <v/>
      </c>
      <c r="Q70" s="246">
        <f>J70</f>
        <v/>
      </c>
      <c r="R70" s="247">
        <f>K70</f>
        <v/>
      </c>
      <c r="S70" s="243" t="n"/>
      <c r="T70" s="249">
        <f>ROUNDUP(IF(Y70=0,0,Y70)*IF(Z70&gt;0,Z70,1)*IF(U70&gt;0,U70,1)*IF(W70&gt;0,W70,1),0)</f>
        <v/>
      </c>
      <c r="U70" s="245">
        <f>M70</f>
        <v/>
      </c>
      <c r="V70" s="243">
        <f>N70</f>
        <v/>
      </c>
      <c r="W70" s="245">
        <f>O70</f>
        <v/>
      </c>
      <c r="X70" s="243">
        <f>P70</f>
        <v/>
      </c>
      <c r="Y70" s="246">
        <f>Q70</f>
        <v/>
      </c>
      <c r="Z70" s="247">
        <f>R70</f>
        <v/>
      </c>
      <c r="AA70" s="243" t="n"/>
      <c r="AB70" s="254" t="n"/>
      <c r="AC70" s="254" t="n"/>
      <c r="AD70" s="254" t="n"/>
      <c r="AE70" s="254" t="n"/>
      <c r="AF70" s="254" t="n"/>
      <c r="AG70" s="255" t="n"/>
      <c r="AH70" s="256" t="n"/>
      <c r="AI70" s="253" t="n"/>
    </row>
    <row r="71" hidden="1" outlineLevel="1" s="592">
      <c r="A71" s="241">
        <f>$A53&amp;"."&amp;18</f>
        <v/>
      </c>
      <c r="B71" s="241" t="n"/>
      <c r="C71" s="255">
        <f>$C$53</f>
        <v/>
      </c>
      <c r="D71" s="243" t="n"/>
      <c r="E71" s="244">
        <f>ROUNDUP(IF(J71=0,0,J71)*IF(K71&gt;0,K71,1)*IF(F71&gt;0,F71,1)*IF(H71&gt;0,H71,1),0)</f>
        <v/>
      </c>
      <c r="F71" s="245" t="n"/>
      <c r="G71" s="243" t="n"/>
      <c r="H71" s="245" t="n"/>
      <c r="I71" s="243" t="n"/>
      <c r="J71" s="246" t="n"/>
      <c r="K71" s="247" t="n"/>
      <c r="L71" s="248">
        <f>ROUNDUP(IF(Q71=0,0,Q71)*IF(R71&gt;0,R71,1)*IF(M71&gt;0,M71,1)*IF(O71&gt;0,O71,1),0)</f>
        <v/>
      </c>
      <c r="M71" s="245">
        <f>F71</f>
        <v/>
      </c>
      <c r="N71" s="243">
        <f>G71</f>
        <v/>
      </c>
      <c r="O71" s="245">
        <f>H71</f>
        <v/>
      </c>
      <c r="P71" s="243">
        <f>I71</f>
        <v/>
      </c>
      <c r="Q71" s="246">
        <f>J71</f>
        <v/>
      </c>
      <c r="R71" s="247">
        <f>K71</f>
        <v/>
      </c>
      <c r="S71" s="243" t="n"/>
      <c r="T71" s="249">
        <f>ROUNDUP(IF(Y71=0,0,Y71)*IF(Z71&gt;0,Z71,1)*IF(U71&gt;0,U71,1)*IF(W71&gt;0,W71,1),0)</f>
        <v/>
      </c>
      <c r="U71" s="245">
        <f>M71</f>
        <v/>
      </c>
      <c r="V71" s="243">
        <f>N71</f>
        <v/>
      </c>
      <c r="W71" s="245">
        <f>O71</f>
        <v/>
      </c>
      <c r="X71" s="243">
        <f>P71</f>
        <v/>
      </c>
      <c r="Y71" s="246">
        <f>Q71</f>
        <v/>
      </c>
      <c r="Z71" s="247">
        <f>R71</f>
        <v/>
      </c>
      <c r="AA71" s="243" t="n"/>
      <c r="AB71" s="254" t="n"/>
      <c r="AC71" s="254" t="n"/>
      <c r="AD71" s="254" t="n"/>
      <c r="AE71" s="254" t="n"/>
      <c r="AF71" s="254" t="n"/>
      <c r="AG71" s="255" t="n"/>
      <c r="AH71" s="256" t="n"/>
      <c r="AI71" s="253" t="n"/>
    </row>
    <row r="72" hidden="1" outlineLevel="1" s="592">
      <c r="A72" s="241">
        <f>$A53&amp;"."&amp;19</f>
        <v/>
      </c>
      <c r="B72" s="241" t="n"/>
      <c r="C72" s="255">
        <f>$C$53</f>
        <v/>
      </c>
      <c r="D72" s="243" t="n"/>
      <c r="E72" s="244">
        <f>ROUNDUP(IF(J72=0,0,J72)*IF(K72&gt;0,K72,1)*IF(F72&gt;0,F72,1)*IF(H72&gt;0,H72,1),0)</f>
        <v/>
      </c>
      <c r="F72" s="245" t="n"/>
      <c r="G72" s="243" t="n"/>
      <c r="H72" s="245" t="n"/>
      <c r="I72" s="243" t="n"/>
      <c r="J72" s="246" t="n"/>
      <c r="K72" s="247" t="n"/>
      <c r="L72" s="248">
        <f>ROUNDUP(IF(Q72=0,0,Q72)*IF(R72&gt;0,R72,1)*IF(M72&gt;0,M72,1)*IF(O72&gt;0,O72,1),0)</f>
        <v/>
      </c>
      <c r="M72" s="245">
        <f>F72</f>
        <v/>
      </c>
      <c r="N72" s="243">
        <f>G72</f>
        <v/>
      </c>
      <c r="O72" s="245">
        <f>H72</f>
        <v/>
      </c>
      <c r="P72" s="243">
        <f>I72</f>
        <v/>
      </c>
      <c r="Q72" s="246">
        <f>J72</f>
        <v/>
      </c>
      <c r="R72" s="247">
        <f>K72</f>
        <v/>
      </c>
      <c r="S72" s="243" t="n"/>
      <c r="T72" s="249">
        <f>ROUNDUP(IF(Y72=0,0,Y72)*IF(Z72&gt;0,Z72,1)*IF(U72&gt;0,U72,1)*IF(W72&gt;0,W72,1),0)</f>
        <v/>
      </c>
      <c r="U72" s="245">
        <f>M72</f>
        <v/>
      </c>
      <c r="V72" s="243">
        <f>N72</f>
        <v/>
      </c>
      <c r="W72" s="245">
        <f>O72</f>
        <v/>
      </c>
      <c r="X72" s="243">
        <f>P72</f>
        <v/>
      </c>
      <c r="Y72" s="246">
        <f>Q72</f>
        <v/>
      </c>
      <c r="Z72" s="247">
        <f>R72</f>
        <v/>
      </c>
      <c r="AA72" s="243" t="n"/>
      <c r="AB72" s="254" t="n"/>
      <c r="AC72" s="254" t="n"/>
      <c r="AD72" s="254" t="n"/>
      <c r="AE72" s="254" t="n"/>
      <c r="AF72" s="254" t="n"/>
      <c r="AG72" s="255" t="n"/>
      <c r="AH72" s="256" t="n"/>
      <c r="AI72" s="253" t="n"/>
    </row>
    <row r="73" hidden="1" outlineLevel="1" s="592">
      <c r="A73" s="241">
        <f>$A53&amp;"."&amp;20</f>
        <v/>
      </c>
      <c r="B73" s="241" t="n"/>
      <c r="C73" s="255">
        <f>$C$53</f>
        <v/>
      </c>
      <c r="D73" s="243" t="n"/>
      <c r="E73" s="244">
        <f>ROUNDUP(IF(J73=0,0,J73)*IF(K73&gt;0,K73,1)*IF(F73&gt;0,F73,1)*IF(H73&gt;0,H73,1),0)</f>
        <v/>
      </c>
      <c r="F73" s="245" t="n"/>
      <c r="G73" s="243" t="n"/>
      <c r="H73" s="245" t="n"/>
      <c r="I73" s="243" t="n"/>
      <c r="J73" s="246" t="n"/>
      <c r="K73" s="247" t="n"/>
      <c r="L73" s="248">
        <f>ROUNDUP(IF(Q73=0,0,Q73)*IF(R73&gt;0,R73,1)*IF(M73&gt;0,M73,1)*IF(O73&gt;0,O73,1),0)</f>
        <v/>
      </c>
      <c r="M73" s="245">
        <f>F73</f>
        <v/>
      </c>
      <c r="N73" s="243">
        <f>G73</f>
        <v/>
      </c>
      <c r="O73" s="245">
        <f>H73</f>
        <v/>
      </c>
      <c r="P73" s="243">
        <f>I73</f>
        <v/>
      </c>
      <c r="Q73" s="246">
        <f>J73</f>
        <v/>
      </c>
      <c r="R73" s="247">
        <f>K73</f>
        <v/>
      </c>
      <c r="S73" s="243" t="n"/>
      <c r="T73" s="249">
        <f>ROUNDUP(IF(Y73=0,0,Y73)*IF(Z73&gt;0,Z73,1)*IF(U73&gt;0,U73,1)*IF(W73&gt;0,W73,1),0)</f>
        <v/>
      </c>
      <c r="U73" s="245">
        <f>M73</f>
        <v/>
      </c>
      <c r="V73" s="243">
        <f>N73</f>
        <v/>
      </c>
      <c r="W73" s="245">
        <f>O73</f>
        <v/>
      </c>
      <c r="X73" s="243">
        <f>P73</f>
        <v/>
      </c>
      <c r="Y73" s="246">
        <f>Q73</f>
        <v/>
      </c>
      <c r="Z73" s="247">
        <f>R73</f>
        <v/>
      </c>
      <c r="AA73" s="243" t="n"/>
      <c r="AB73" s="254" t="n"/>
      <c r="AC73" s="254" t="n"/>
      <c r="AD73" s="254" t="n"/>
      <c r="AE73" s="254" t="n"/>
      <c r="AF73" s="254" t="n"/>
      <c r="AG73" s="255" t="n"/>
      <c r="AH73" s="256" t="n"/>
      <c r="AI73" s="253" t="n"/>
    </row>
    <row r="74" collapsed="1" s="592">
      <c r="A74" s="257" t="n">
        <v>4</v>
      </c>
      <c r="B74" s="257">
        <f>IFERROR(__xludf.DUMMYFUNCTION("vlookup(C74,IMPORTRANGE(REF!$B$3,""FP!B:C""),2,0)"),"#N/A")</f>
        <v/>
      </c>
      <c r="C74" s="237" t="inlineStr">
        <is>
          <t>ชื่อกิจกรรมที่ 4</t>
        </is>
      </c>
      <c r="D74" s="232" t="n"/>
      <c r="E74" s="233">
        <f>SUM(E75:E94)</f>
        <v/>
      </c>
      <c r="F74" s="234" t="n"/>
      <c r="G74" s="235" t="n"/>
      <c r="H74" s="234" t="n"/>
      <c r="I74" s="235" t="n"/>
      <c r="J74" s="233" t="n"/>
      <c r="K74" s="236" t="n"/>
      <c r="L74" s="233">
        <f>SUM(L75:L94)</f>
        <v/>
      </c>
      <c r="M74" s="234" t="n"/>
      <c r="N74" s="235" t="n"/>
      <c r="O74" s="234" t="n"/>
      <c r="P74" s="235" t="n"/>
      <c r="Q74" s="233" t="n"/>
      <c r="R74" s="236" t="n"/>
      <c r="S74" s="235" t="n"/>
      <c r="T74" s="233">
        <f>SUM(T75:T94)</f>
        <v/>
      </c>
      <c r="U74" s="234" t="n"/>
      <c r="V74" s="235" t="n"/>
      <c r="W74" s="234" t="n"/>
      <c r="X74" s="235" t="n"/>
      <c r="Y74" s="233" t="n"/>
      <c r="Z74" s="236" t="n"/>
      <c r="AA74" s="235" t="n"/>
      <c r="AB74" s="237" t="n"/>
      <c r="AC74" s="237" t="n"/>
      <c r="AD74" s="237" t="n"/>
      <c r="AE74" s="237" t="n"/>
      <c r="AF74" s="237" t="n"/>
      <c r="AG74" s="238" t="b">
        <v>0</v>
      </c>
      <c r="AH74" s="239" t="n"/>
      <c r="AI74" s="253" t="n"/>
    </row>
    <row r="75" hidden="1" outlineLevel="1" s="592">
      <c r="A75" s="241">
        <f>$A74&amp;"."&amp;1</f>
        <v/>
      </c>
      <c r="B75" s="241" t="n"/>
      <c r="C75" s="255">
        <f>$C$74</f>
        <v/>
      </c>
      <c r="D75" s="243" t="n"/>
      <c r="E75" s="244">
        <f>ROUNDUP(IF(J75=0,0,J75)*IF(K75&gt;0,K75,1)*IF(F75&gt;0,F75,1)*IF(H75&gt;0,H75,1),0)</f>
        <v/>
      </c>
      <c r="F75" s="245" t="n"/>
      <c r="G75" s="243" t="n"/>
      <c r="H75" s="245" t="n"/>
      <c r="I75" s="243" t="n"/>
      <c r="J75" s="246" t="n"/>
      <c r="K75" s="247" t="n"/>
      <c r="L75" s="248">
        <f>ROUNDUP(IF(Q75=0,0,Q75)*IF(R75&gt;0,R75,1)*IF(M75&gt;0,M75,1)*IF(O75&gt;0,O75,1),0)</f>
        <v/>
      </c>
      <c r="M75" s="245">
        <f>F75</f>
        <v/>
      </c>
      <c r="N75" s="243">
        <f>G75</f>
        <v/>
      </c>
      <c r="O75" s="245">
        <f>H75</f>
        <v/>
      </c>
      <c r="P75" s="243">
        <f>I75</f>
        <v/>
      </c>
      <c r="Q75" s="246">
        <f>J75</f>
        <v/>
      </c>
      <c r="R75" s="247">
        <f>K75</f>
        <v/>
      </c>
      <c r="S75" s="243" t="n"/>
      <c r="T75" s="249">
        <f>ROUNDUP(IF(Y75=0,0,Y75)*IF(Z75&gt;0,Z75,1)*IF(U75&gt;0,U75,1)*IF(W75&gt;0,W75,1),0)</f>
        <v/>
      </c>
      <c r="U75" s="245">
        <f>M75</f>
        <v/>
      </c>
      <c r="V75" s="243">
        <f>N75</f>
        <v/>
      </c>
      <c r="W75" s="245">
        <f>O75</f>
        <v/>
      </c>
      <c r="X75" s="243">
        <f>P75</f>
        <v/>
      </c>
      <c r="Y75" s="246">
        <f>Q75</f>
        <v/>
      </c>
      <c r="Z75" s="247">
        <f>R75</f>
        <v/>
      </c>
      <c r="AA75" s="243" t="n"/>
      <c r="AB75" s="254" t="n"/>
      <c r="AC75" s="254" t="n"/>
      <c r="AD75" s="254" t="n"/>
      <c r="AE75" s="254" t="n"/>
      <c r="AF75" s="254" t="n"/>
      <c r="AG75" s="255" t="n"/>
      <c r="AH75" s="256" t="n"/>
      <c r="AI75" s="253" t="n"/>
    </row>
    <row r="76" hidden="1" outlineLevel="1" s="592">
      <c r="A76" s="241">
        <f>$A74&amp;"."&amp;2</f>
        <v/>
      </c>
      <c r="B76" s="241" t="n"/>
      <c r="C76" s="255">
        <f>$C$74</f>
        <v/>
      </c>
      <c r="D76" s="243" t="n"/>
      <c r="E76" s="244">
        <f>ROUNDUP(IF(J76=0,0,J76)*IF(K76&gt;0,K76,1)*IF(F76&gt;0,F76,1)*IF(H76&gt;0,H76,1),0)</f>
        <v/>
      </c>
      <c r="F76" s="245" t="n"/>
      <c r="G76" s="243" t="n"/>
      <c r="H76" s="245" t="n"/>
      <c r="I76" s="243" t="n"/>
      <c r="J76" s="246" t="n"/>
      <c r="K76" s="247" t="n"/>
      <c r="L76" s="248">
        <f>ROUNDUP(IF(Q76=0,0,Q76)*IF(R76&gt;0,R76,1)*IF(M76&gt;0,M76,1)*IF(O76&gt;0,O76,1),0)</f>
        <v/>
      </c>
      <c r="M76" s="245">
        <f>F76</f>
        <v/>
      </c>
      <c r="N76" s="243">
        <f>G76</f>
        <v/>
      </c>
      <c r="O76" s="245">
        <f>H76</f>
        <v/>
      </c>
      <c r="P76" s="243">
        <f>I76</f>
        <v/>
      </c>
      <c r="Q76" s="246">
        <f>J76</f>
        <v/>
      </c>
      <c r="R76" s="247">
        <f>K76</f>
        <v/>
      </c>
      <c r="S76" s="243" t="n"/>
      <c r="T76" s="249">
        <f>ROUNDUP(IF(Y76=0,0,Y76)*IF(Z76&gt;0,Z76,1)*IF(U76&gt;0,U76,1)*IF(W76&gt;0,W76,1),0)</f>
        <v/>
      </c>
      <c r="U76" s="245">
        <f>M76</f>
        <v/>
      </c>
      <c r="V76" s="243">
        <f>N76</f>
        <v/>
      </c>
      <c r="W76" s="245">
        <f>O76</f>
        <v/>
      </c>
      <c r="X76" s="243">
        <f>P76</f>
        <v/>
      </c>
      <c r="Y76" s="246">
        <f>Q76</f>
        <v/>
      </c>
      <c r="Z76" s="247">
        <f>R76</f>
        <v/>
      </c>
      <c r="AA76" s="243" t="n"/>
      <c r="AB76" s="254" t="n"/>
      <c r="AC76" s="254" t="n"/>
      <c r="AD76" s="254" t="n"/>
      <c r="AE76" s="254" t="n"/>
      <c r="AF76" s="254" t="n"/>
      <c r="AG76" s="255" t="n"/>
      <c r="AH76" s="256" t="n"/>
      <c r="AI76" s="253" t="n"/>
    </row>
    <row r="77" hidden="1" outlineLevel="1" s="592">
      <c r="A77" s="241">
        <f>$A74&amp;"."&amp;3</f>
        <v/>
      </c>
      <c r="B77" s="241" t="n"/>
      <c r="C77" s="255">
        <f>$C$74</f>
        <v/>
      </c>
      <c r="D77" s="243" t="n"/>
      <c r="E77" s="244">
        <f>ROUNDUP(IF(J77=0,0,J77)*IF(K77&gt;0,K77,1)*IF(F77&gt;0,F77,1)*IF(H77&gt;0,H77,1),0)</f>
        <v/>
      </c>
      <c r="F77" s="245" t="n"/>
      <c r="G77" s="243" t="n"/>
      <c r="H77" s="245" t="n"/>
      <c r="I77" s="243" t="n"/>
      <c r="J77" s="246" t="n"/>
      <c r="K77" s="247" t="n"/>
      <c r="L77" s="248">
        <f>ROUNDUP(IF(Q77=0,0,Q77)*IF(R77&gt;0,R77,1)*IF(M77&gt;0,M77,1)*IF(O77&gt;0,O77,1),0)</f>
        <v/>
      </c>
      <c r="M77" s="245">
        <f>F77</f>
        <v/>
      </c>
      <c r="N77" s="243">
        <f>G77</f>
        <v/>
      </c>
      <c r="O77" s="245">
        <f>H77</f>
        <v/>
      </c>
      <c r="P77" s="243">
        <f>I77</f>
        <v/>
      </c>
      <c r="Q77" s="246">
        <f>J77</f>
        <v/>
      </c>
      <c r="R77" s="247">
        <f>K77</f>
        <v/>
      </c>
      <c r="S77" s="243" t="n"/>
      <c r="T77" s="249">
        <f>ROUNDUP(IF(Y77=0,0,Y77)*IF(Z77&gt;0,Z77,1)*IF(U77&gt;0,U77,1)*IF(W77&gt;0,W77,1),0)</f>
        <v/>
      </c>
      <c r="U77" s="245">
        <f>M77</f>
        <v/>
      </c>
      <c r="V77" s="243">
        <f>N77</f>
        <v/>
      </c>
      <c r="W77" s="245">
        <f>O77</f>
        <v/>
      </c>
      <c r="X77" s="243">
        <f>P77</f>
        <v/>
      </c>
      <c r="Y77" s="246">
        <f>Q77</f>
        <v/>
      </c>
      <c r="Z77" s="247">
        <f>R77</f>
        <v/>
      </c>
      <c r="AA77" s="243" t="n"/>
      <c r="AB77" s="254" t="n"/>
      <c r="AC77" s="254" t="n"/>
      <c r="AD77" s="254" t="n"/>
      <c r="AE77" s="254" t="n"/>
      <c r="AF77" s="254" t="n"/>
      <c r="AG77" s="255" t="n"/>
      <c r="AH77" s="256" t="n"/>
      <c r="AI77" s="253" t="n"/>
    </row>
    <row r="78" hidden="1" outlineLevel="1" s="592">
      <c r="A78" s="241">
        <f>$A74&amp;"."&amp;4</f>
        <v/>
      </c>
      <c r="B78" s="241" t="n"/>
      <c r="C78" s="255">
        <f>$C$74</f>
        <v/>
      </c>
      <c r="D78" s="243" t="n"/>
      <c r="E78" s="244">
        <f>ROUNDUP(IF(J78=0,0,J78)*IF(K78&gt;0,K78,1)*IF(F78&gt;0,F78,1)*IF(H78&gt;0,H78,1),0)</f>
        <v/>
      </c>
      <c r="F78" s="245" t="n"/>
      <c r="G78" s="243" t="n"/>
      <c r="H78" s="245" t="n"/>
      <c r="I78" s="243" t="n"/>
      <c r="J78" s="246" t="n"/>
      <c r="K78" s="247" t="n"/>
      <c r="L78" s="248">
        <f>ROUNDUP(IF(Q78=0,0,Q78)*IF(R78&gt;0,R78,1)*IF(M78&gt;0,M78,1)*IF(O78&gt;0,O78,1),0)</f>
        <v/>
      </c>
      <c r="M78" s="245">
        <f>F78</f>
        <v/>
      </c>
      <c r="N78" s="243">
        <f>G78</f>
        <v/>
      </c>
      <c r="O78" s="245">
        <f>H78</f>
        <v/>
      </c>
      <c r="P78" s="243">
        <f>I78</f>
        <v/>
      </c>
      <c r="Q78" s="246">
        <f>J78</f>
        <v/>
      </c>
      <c r="R78" s="247">
        <f>K78</f>
        <v/>
      </c>
      <c r="S78" s="243" t="n"/>
      <c r="T78" s="249">
        <f>ROUNDUP(IF(Y78=0,0,Y78)*IF(Z78&gt;0,Z78,1)*IF(U78&gt;0,U78,1)*IF(W78&gt;0,W78,1),0)</f>
        <v/>
      </c>
      <c r="U78" s="245">
        <f>M78</f>
        <v/>
      </c>
      <c r="V78" s="243">
        <f>N78</f>
        <v/>
      </c>
      <c r="W78" s="245">
        <f>O78</f>
        <v/>
      </c>
      <c r="X78" s="243">
        <f>P78</f>
        <v/>
      </c>
      <c r="Y78" s="246">
        <f>Q78</f>
        <v/>
      </c>
      <c r="Z78" s="247">
        <f>R78</f>
        <v/>
      </c>
      <c r="AA78" s="243" t="n"/>
      <c r="AB78" s="254" t="n"/>
      <c r="AC78" s="254" t="n"/>
      <c r="AD78" s="254" t="n"/>
      <c r="AE78" s="254" t="n"/>
      <c r="AF78" s="254" t="n"/>
      <c r="AG78" s="255" t="n"/>
      <c r="AH78" s="256" t="n"/>
      <c r="AI78" s="253" t="n"/>
    </row>
    <row r="79" hidden="1" outlineLevel="1" s="592">
      <c r="A79" s="241">
        <f>$A74&amp;"."&amp;5</f>
        <v/>
      </c>
      <c r="B79" s="241" t="n"/>
      <c r="C79" s="255">
        <f>$C$74</f>
        <v/>
      </c>
      <c r="D79" s="243" t="n"/>
      <c r="E79" s="244">
        <f>ROUNDUP(IF(J79=0,0,J79)*IF(K79&gt;0,K79,1)*IF(F79&gt;0,F79,1)*IF(H79&gt;0,H79,1),0)</f>
        <v/>
      </c>
      <c r="F79" s="245" t="n"/>
      <c r="G79" s="243" t="n"/>
      <c r="H79" s="245" t="n"/>
      <c r="I79" s="243" t="n"/>
      <c r="J79" s="246" t="n"/>
      <c r="K79" s="247" t="n"/>
      <c r="L79" s="248">
        <f>ROUNDUP(IF(Q79=0,0,Q79)*IF(R79&gt;0,R79,1)*IF(M79&gt;0,M79,1)*IF(O79&gt;0,O79,1),0)</f>
        <v/>
      </c>
      <c r="M79" s="245">
        <f>F79</f>
        <v/>
      </c>
      <c r="N79" s="243">
        <f>G79</f>
        <v/>
      </c>
      <c r="O79" s="245">
        <f>H79</f>
        <v/>
      </c>
      <c r="P79" s="243">
        <f>I79</f>
        <v/>
      </c>
      <c r="Q79" s="246">
        <f>J79</f>
        <v/>
      </c>
      <c r="R79" s="247">
        <f>K79</f>
        <v/>
      </c>
      <c r="S79" s="243" t="n"/>
      <c r="T79" s="249">
        <f>ROUNDUP(IF(Y79=0,0,Y79)*IF(Z79&gt;0,Z79,1)*IF(U79&gt;0,U79,1)*IF(W79&gt;0,W79,1),0)</f>
        <v/>
      </c>
      <c r="U79" s="245">
        <f>M79</f>
        <v/>
      </c>
      <c r="V79" s="243">
        <f>N79</f>
        <v/>
      </c>
      <c r="W79" s="245">
        <f>O79</f>
        <v/>
      </c>
      <c r="X79" s="243">
        <f>P79</f>
        <v/>
      </c>
      <c r="Y79" s="246">
        <f>Q79</f>
        <v/>
      </c>
      <c r="Z79" s="247">
        <f>R79</f>
        <v/>
      </c>
      <c r="AA79" s="243" t="n"/>
      <c r="AB79" s="254" t="n"/>
      <c r="AC79" s="254" t="n"/>
      <c r="AD79" s="254" t="n"/>
      <c r="AE79" s="254" t="n"/>
      <c r="AF79" s="254" t="n"/>
      <c r="AG79" s="255" t="n"/>
      <c r="AH79" s="256" t="n"/>
      <c r="AI79" s="253" t="n"/>
    </row>
    <row r="80" hidden="1" outlineLevel="1" s="592">
      <c r="A80" s="241">
        <f>$A74&amp;"."&amp;6</f>
        <v/>
      </c>
      <c r="B80" s="241" t="n"/>
      <c r="C80" s="255">
        <f>$C$74</f>
        <v/>
      </c>
      <c r="D80" s="243" t="n"/>
      <c r="E80" s="244">
        <f>ROUNDUP(IF(J80=0,0,J80)*IF(K80&gt;0,K80,1)*IF(F80&gt;0,F80,1)*IF(H80&gt;0,H80,1),0)</f>
        <v/>
      </c>
      <c r="F80" s="245" t="n"/>
      <c r="G80" s="243" t="n"/>
      <c r="H80" s="245" t="n"/>
      <c r="I80" s="243" t="n"/>
      <c r="J80" s="246" t="n"/>
      <c r="K80" s="247" t="n"/>
      <c r="L80" s="248">
        <f>ROUNDUP(IF(Q80=0,0,Q80)*IF(R80&gt;0,R80,1)*IF(M80&gt;0,M80,1)*IF(O80&gt;0,O80,1),0)</f>
        <v/>
      </c>
      <c r="M80" s="245">
        <f>F80</f>
        <v/>
      </c>
      <c r="N80" s="243">
        <f>G80</f>
        <v/>
      </c>
      <c r="O80" s="245">
        <f>H80</f>
        <v/>
      </c>
      <c r="P80" s="243">
        <f>I80</f>
        <v/>
      </c>
      <c r="Q80" s="246">
        <f>J80</f>
        <v/>
      </c>
      <c r="R80" s="247">
        <f>K80</f>
        <v/>
      </c>
      <c r="S80" s="243" t="n"/>
      <c r="T80" s="249">
        <f>ROUNDUP(IF(Y80=0,0,Y80)*IF(Z80&gt;0,Z80,1)*IF(U80&gt;0,U80,1)*IF(W80&gt;0,W80,1),0)</f>
        <v/>
      </c>
      <c r="U80" s="245">
        <f>M80</f>
        <v/>
      </c>
      <c r="V80" s="243">
        <f>N80</f>
        <v/>
      </c>
      <c r="W80" s="245">
        <f>O80</f>
        <v/>
      </c>
      <c r="X80" s="243">
        <f>P80</f>
        <v/>
      </c>
      <c r="Y80" s="246">
        <f>Q80</f>
        <v/>
      </c>
      <c r="Z80" s="247">
        <f>R80</f>
        <v/>
      </c>
      <c r="AA80" s="243" t="n"/>
      <c r="AB80" s="254" t="n"/>
      <c r="AC80" s="254" t="n"/>
      <c r="AD80" s="254" t="n"/>
      <c r="AE80" s="254" t="n"/>
      <c r="AF80" s="254" t="n"/>
      <c r="AG80" s="255" t="n"/>
      <c r="AH80" s="256" t="n"/>
      <c r="AI80" s="253" t="n"/>
    </row>
    <row r="81" hidden="1" outlineLevel="1" s="592">
      <c r="A81" s="241">
        <f>$A74&amp;"."&amp;7</f>
        <v/>
      </c>
      <c r="B81" s="241" t="n"/>
      <c r="C81" s="255">
        <f>$C$74</f>
        <v/>
      </c>
      <c r="D81" s="243" t="n"/>
      <c r="E81" s="244">
        <f>ROUNDUP(IF(J81=0,0,J81)*IF(K81&gt;0,K81,1)*IF(F81&gt;0,F81,1)*IF(H81&gt;0,H81,1),0)</f>
        <v/>
      </c>
      <c r="F81" s="245" t="n"/>
      <c r="G81" s="243" t="n"/>
      <c r="H81" s="245" t="n"/>
      <c r="I81" s="243" t="n"/>
      <c r="J81" s="246" t="n"/>
      <c r="K81" s="247" t="n"/>
      <c r="L81" s="248">
        <f>ROUNDUP(IF(Q81=0,0,Q81)*IF(R81&gt;0,R81,1)*IF(M81&gt;0,M81,1)*IF(O81&gt;0,O81,1),0)</f>
        <v/>
      </c>
      <c r="M81" s="245">
        <f>F81</f>
        <v/>
      </c>
      <c r="N81" s="243">
        <f>G81</f>
        <v/>
      </c>
      <c r="O81" s="245">
        <f>H81</f>
        <v/>
      </c>
      <c r="P81" s="243">
        <f>I81</f>
        <v/>
      </c>
      <c r="Q81" s="246">
        <f>J81</f>
        <v/>
      </c>
      <c r="R81" s="247">
        <f>K81</f>
        <v/>
      </c>
      <c r="S81" s="243" t="n"/>
      <c r="T81" s="249">
        <f>ROUNDUP(IF(Y81=0,0,Y81)*IF(Z81&gt;0,Z81,1)*IF(U81&gt;0,U81,1)*IF(W81&gt;0,W81,1),0)</f>
        <v/>
      </c>
      <c r="U81" s="245">
        <f>M81</f>
        <v/>
      </c>
      <c r="V81" s="243">
        <f>N81</f>
        <v/>
      </c>
      <c r="W81" s="245">
        <f>O81</f>
        <v/>
      </c>
      <c r="X81" s="243">
        <f>P81</f>
        <v/>
      </c>
      <c r="Y81" s="246">
        <f>Q81</f>
        <v/>
      </c>
      <c r="Z81" s="247">
        <f>R81</f>
        <v/>
      </c>
      <c r="AA81" s="243" t="n"/>
      <c r="AB81" s="254" t="n"/>
      <c r="AC81" s="254" t="n"/>
      <c r="AD81" s="254" t="n"/>
      <c r="AE81" s="254" t="n"/>
      <c r="AF81" s="254" t="n"/>
      <c r="AG81" s="255" t="n"/>
      <c r="AH81" s="256" t="n"/>
      <c r="AI81" s="253" t="n"/>
    </row>
    <row r="82" hidden="1" outlineLevel="1" s="592">
      <c r="A82" s="241">
        <f>$A74&amp;"."&amp;8</f>
        <v/>
      </c>
      <c r="B82" s="241" t="n"/>
      <c r="C82" s="255">
        <f>$C$74</f>
        <v/>
      </c>
      <c r="D82" s="243" t="n"/>
      <c r="E82" s="244">
        <f>ROUNDUP(IF(J82=0,0,J82)*IF(K82&gt;0,K82,1)*IF(F82&gt;0,F82,1)*IF(H82&gt;0,H82,1),0)</f>
        <v/>
      </c>
      <c r="F82" s="245" t="n"/>
      <c r="G82" s="243" t="n"/>
      <c r="H82" s="245" t="n"/>
      <c r="I82" s="243" t="n"/>
      <c r="J82" s="246" t="n"/>
      <c r="K82" s="247" t="n"/>
      <c r="L82" s="248">
        <f>ROUNDUP(IF(Q82=0,0,Q82)*IF(R82&gt;0,R82,1)*IF(M82&gt;0,M82,1)*IF(O82&gt;0,O82,1),0)</f>
        <v/>
      </c>
      <c r="M82" s="245">
        <f>F82</f>
        <v/>
      </c>
      <c r="N82" s="243">
        <f>G82</f>
        <v/>
      </c>
      <c r="O82" s="245">
        <f>H82</f>
        <v/>
      </c>
      <c r="P82" s="243">
        <f>I82</f>
        <v/>
      </c>
      <c r="Q82" s="246">
        <f>J82</f>
        <v/>
      </c>
      <c r="R82" s="247">
        <f>K82</f>
        <v/>
      </c>
      <c r="S82" s="243" t="n"/>
      <c r="T82" s="249">
        <f>ROUNDUP(IF(Y82=0,0,Y82)*IF(Z82&gt;0,Z82,1)*IF(U82&gt;0,U82,1)*IF(W82&gt;0,W82,1),0)</f>
        <v/>
      </c>
      <c r="U82" s="245">
        <f>M82</f>
        <v/>
      </c>
      <c r="V82" s="243">
        <f>N82</f>
        <v/>
      </c>
      <c r="W82" s="245">
        <f>O82</f>
        <v/>
      </c>
      <c r="X82" s="243">
        <f>P82</f>
        <v/>
      </c>
      <c r="Y82" s="246">
        <f>Q82</f>
        <v/>
      </c>
      <c r="Z82" s="247">
        <f>R82</f>
        <v/>
      </c>
      <c r="AA82" s="243" t="n"/>
      <c r="AB82" s="254" t="n"/>
      <c r="AC82" s="254" t="n"/>
      <c r="AD82" s="254" t="n"/>
      <c r="AE82" s="254" t="n"/>
      <c r="AF82" s="254" t="n"/>
      <c r="AG82" s="255" t="n"/>
      <c r="AH82" s="256" t="n"/>
      <c r="AI82" s="253" t="n"/>
    </row>
    <row r="83" hidden="1" outlineLevel="1" s="592">
      <c r="A83" s="241">
        <f>$A74&amp;"."&amp;9</f>
        <v/>
      </c>
      <c r="B83" s="241" t="n"/>
      <c r="C83" s="255">
        <f>$C$74</f>
        <v/>
      </c>
      <c r="D83" s="243" t="n"/>
      <c r="E83" s="244">
        <f>ROUNDUP(IF(J83=0,0,J83)*IF(K83&gt;0,K83,1)*IF(F83&gt;0,F83,1)*IF(H83&gt;0,H83,1),0)</f>
        <v/>
      </c>
      <c r="F83" s="245" t="n"/>
      <c r="G83" s="243" t="n"/>
      <c r="H83" s="245" t="n"/>
      <c r="I83" s="243" t="n"/>
      <c r="J83" s="246" t="n"/>
      <c r="K83" s="247" t="n"/>
      <c r="L83" s="248">
        <f>ROUNDUP(IF(Q83=0,0,Q83)*IF(R83&gt;0,R83,1)*IF(M83&gt;0,M83,1)*IF(O83&gt;0,O83,1),0)</f>
        <v/>
      </c>
      <c r="M83" s="245">
        <f>F83</f>
        <v/>
      </c>
      <c r="N83" s="243">
        <f>G83</f>
        <v/>
      </c>
      <c r="O83" s="245">
        <f>H83</f>
        <v/>
      </c>
      <c r="P83" s="243">
        <f>I83</f>
        <v/>
      </c>
      <c r="Q83" s="246">
        <f>J83</f>
        <v/>
      </c>
      <c r="R83" s="247">
        <f>K83</f>
        <v/>
      </c>
      <c r="S83" s="243" t="n"/>
      <c r="T83" s="249">
        <f>ROUNDUP(IF(Y83=0,0,Y83)*IF(Z83&gt;0,Z83,1)*IF(U83&gt;0,U83,1)*IF(W83&gt;0,W83,1),0)</f>
        <v/>
      </c>
      <c r="U83" s="245">
        <f>M83</f>
        <v/>
      </c>
      <c r="V83" s="243">
        <f>N83</f>
        <v/>
      </c>
      <c r="W83" s="245">
        <f>O83</f>
        <v/>
      </c>
      <c r="X83" s="243">
        <f>P83</f>
        <v/>
      </c>
      <c r="Y83" s="246">
        <f>Q83</f>
        <v/>
      </c>
      <c r="Z83" s="247">
        <f>R83</f>
        <v/>
      </c>
      <c r="AA83" s="243" t="n"/>
      <c r="AB83" s="254" t="n"/>
      <c r="AC83" s="254" t="n"/>
      <c r="AD83" s="254" t="n"/>
      <c r="AE83" s="254" t="n"/>
      <c r="AF83" s="254" t="n"/>
      <c r="AG83" s="255" t="n"/>
      <c r="AH83" s="256" t="n"/>
      <c r="AI83" s="253" t="n"/>
    </row>
    <row r="84" hidden="1" outlineLevel="1" s="592">
      <c r="A84" s="241">
        <f>$A74&amp;"."&amp;10</f>
        <v/>
      </c>
      <c r="B84" s="241" t="n"/>
      <c r="C84" s="255">
        <f>$C$74</f>
        <v/>
      </c>
      <c r="D84" s="243" t="n"/>
      <c r="E84" s="244">
        <f>ROUNDUP(IF(J84=0,0,J84)*IF(K84&gt;0,K84,1)*IF(F84&gt;0,F84,1)*IF(H84&gt;0,H84,1),0)</f>
        <v/>
      </c>
      <c r="F84" s="245" t="n"/>
      <c r="G84" s="243" t="n"/>
      <c r="H84" s="245" t="n"/>
      <c r="I84" s="243" t="n"/>
      <c r="J84" s="246" t="n"/>
      <c r="K84" s="247" t="n"/>
      <c r="L84" s="248">
        <f>ROUNDUP(IF(Q84=0,0,Q84)*IF(R84&gt;0,R84,1)*IF(M84&gt;0,M84,1)*IF(O84&gt;0,O84,1),0)</f>
        <v/>
      </c>
      <c r="M84" s="245">
        <f>F84</f>
        <v/>
      </c>
      <c r="N84" s="243">
        <f>G84</f>
        <v/>
      </c>
      <c r="O84" s="245">
        <f>H84</f>
        <v/>
      </c>
      <c r="P84" s="243">
        <f>I84</f>
        <v/>
      </c>
      <c r="Q84" s="246">
        <f>J84</f>
        <v/>
      </c>
      <c r="R84" s="247">
        <f>K84</f>
        <v/>
      </c>
      <c r="S84" s="243" t="n"/>
      <c r="T84" s="249">
        <f>ROUNDUP(IF(Y84=0,0,Y84)*IF(Z84&gt;0,Z84,1)*IF(U84&gt;0,U84,1)*IF(W84&gt;0,W84,1),0)</f>
        <v/>
      </c>
      <c r="U84" s="245">
        <f>M84</f>
        <v/>
      </c>
      <c r="V84" s="243">
        <f>N84</f>
        <v/>
      </c>
      <c r="W84" s="245">
        <f>O84</f>
        <v/>
      </c>
      <c r="X84" s="243">
        <f>P84</f>
        <v/>
      </c>
      <c r="Y84" s="246">
        <f>Q84</f>
        <v/>
      </c>
      <c r="Z84" s="247">
        <f>R84</f>
        <v/>
      </c>
      <c r="AA84" s="243" t="n"/>
      <c r="AB84" s="254" t="n"/>
      <c r="AC84" s="254" t="n"/>
      <c r="AD84" s="254" t="n"/>
      <c r="AE84" s="254" t="n"/>
      <c r="AF84" s="254" t="n"/>
      <c r="AG84" s="255" t="n"/>
      <c r="AH84" s="256" t="n"/>
      <c r="AI84" s="253" t="n"/>
    </row>
    <row r="85" hidden="1" outlineLevel="1" s="592">
      <c r="A85" s="241">
        <f>$A74&amp;"."&amp;11</f>
        <v/>
      </c>
      <c r="B85" s="241" t="n"/>
      <c r="C85" s="255">
        <f>$C$74</f>
        <v/>
      </c>
      <c r="D85" s="243" t="n"/>
      <c r="E85" s="244">
        <f>ROUNDUP(IF(J85=0,0,J85)*IF(K85&gt;0,K85,1)*IF(F85&gt;0,F85,1)*IF(H85&gt;0,H85,1),0)</f>
        <v/>
      </c>
      <c r="F85" s="245" t="n"/>
      <c r="G85" s="243" t="n"/>
      <c r="H85" s="245" t="n"/>
      <c r="I85" s="243" t="n"/>
      <c r="J85" s="246" t="n"/>
      <c r="K85" s="247" t="n"/>
      <c r="L85" s="248">
        <f>ROUNDUP(IF(Q85=0,0,Q85)*IF(R85&gt;0,R85,1)*IF(M85&gt;0,M85,1)*IF(O85&gt;0,O85,1),0)</f>
        <v/>
      </c>
      <c r="M85" s="245">
        <f>F85</f>
        <v/>
      </c>
      <c r="N85" s="243">
        <f>G85</f>
        <v/>
      </c>
      <c r="O85" s="245">
        <f>H85</f>
        <v/>
      </c>
      <c r="P85" s="243">
        <f>I85</f>
        <v/>
      </c>
      <c r="Q85" s="246">
        <f>J85</f>
        <v/>
      </c>
      <c r="R85" s="247">
        <f>K85</f>
        <v/>
      </c>
      <c r="S85" s="243" t="n"/>
      <c r="T85" s="249">
        <f>ROUNDUP(IF(Y85=0,0,Y85)*IF(Z85&gt;0,Z85,1)*IF(U85&gt;0,U85,1)*IF(W85&gt;0,W85,1),0)</f>
        <v/>
      </c>
      <c r="U85" s="245">
        <f>M85</f>
        <v/>
      </c>
      <c r="V85" s="243">
        <f>N85</f>
        <v/>
      </c>
      <c r="W85" s="245">
        <f>O85</f>
        <v/>
      </c>
      <c r="X85" s="243">
        <f>P85</f>
        <v/>
      </c>
      <c r="Y85" s="246">
        <f>Q85</f>
        <v/>
      </c>
      <c r="Z85" s="247">
        <f>R85</f>
        <v/>
      </c>
      <c r="AA85" s="243" t="n"/>
      <c r="AB85" s="254" t="n"/>
      <c r="AC85" s="254" t="n"/>
      <c r="AD85" s="254" t="n"/>
      <c r="AE85" s="254" t="n"/>
      <c r="AF85" s="254" t="n"/>
      <c r="AG85" s="255" t="n"/>
      <c r="AH85" s="256" t="n"/>
      <c r="AI85" s="253" t="n"/>
    </row>
    <row r="86" hidden="1" outlineLevel="1" s="592">
      <c r="A86" s="241">
        <f>$A74&amp;"."&amp;12</f>
        <v/>
      </c>
      <c r="B86" s="241" t="n"/>
      <c r="C86" s="255">
        <f>$C$74</f>
        <v/>
      </c>
      <c r="D86" s="243" t="n"/>
      <c r="E86" s="244">
        <f>ROUNDUP(IF(J86=0,0,J86)*IF(K86&gt;0,K86,1)*IF(F86&gt;0,F86,1)*IF(H86&gt;0,H86,1),0)</f>
        <v/>
      </c>
      <c r="F86" s="245" t="n"/>
      <c r="G86" s="243" t="n"/>
      <c r="H86" s="245" t="n"/>
      <c r="I86" s="243" t="n"/>
      <c r="J86" s="246" t="n"/>
      <c r="K86" s="247" t="n"/>
      <c r="L86" s="248">
        <f>ROUNDUP(IF(Q86=0,0,Q86)*IF(R86&gt;0,R86,1)*IF(M86&gt;0,M86,1)*IF(O86&gt;0,O86,1),0)</f>
        <v/>
      </c>
      <c r="M86" s="245">
        <f>F86</f>
        <v/>
      </c>
      <c r="N86" s="243">
        <f>G86</f>
        <v/>
      </c>
      <c r="O86" s="245">
        <f>H86</f>
        <v/>
      </c>
      <c r="P86" s="243">
        <f>I86</f>
        <v/>
      </c>
      <c r="Q86" s="246">
        <f>J86</f>
        <v/>
      </c>
      <c r="R86" s="247">
        <f>K86</f>
        <v/>
      </c>
      <c r="S86" s="243" t="n"/>
      <c r="T86" s="249">
        <f>ROUNDUP(IF(Y86=0,0,Y86)*IF(Z86&gt;0,Z86,1)*IF(U86&gt;0,U86,1)*IF(W86&gt;0,W86,1),0)</f>
        <v/>
      </c>
      <c r="U86" s="245">
        <f>M86</f>
        <v/>
      </c>
      <c r="V86" s="243">
        <f>N86</f>
        <v/>
      </c>
      <c r="W86" s="245">
        <f>O86</f>
        <v/>
      </c>
      <c r="X86" s="243">
        <f>P86</f>
        <v/>
      </c>
      <c r="Y86" s="246">
        <f>Q86</f>
        <v/>
      </c>
      <c r="Z86" s="247">
        <f>R86</f>
        <v/>
      </c>
      <c r="AA86" s="243" t="n"/>
      <c r="AB86" s="254" t="n"/>
      <c r="AC86" s="254" t="n"/>
      <c r="AD86" s="254" t="n"/>
      <c r="AE86" s="254" t="n"/>
      <c r="AF86" s="254" t="n"/>
      <c r="AG86" s="255" t="n"/>
      <c r="AH86" s="256" t="n"/>
      <c r="AI86" s="253" t="n"/>
    </row>
    <row r="87" hidden="1" outlineLevel="1" s="592">
      <c r="A87" s="241">
        <f>$A74&amp;"."&amp;13</f>
        <v/>
      </c>
      <c r="B87" s="241" t="n"/>
      <c r="C87" s="255">
        <f>$C$74</f>
        <v/>
      </c>
      <c r="D87" s="243" t="n"/>
      <c r="E87" s="244">
        <f>ROUNDUP(IF(J87=0,0,J87)*IF(K87&gt;0,K87,1)*IF(F87&gt;0,F87,1)*IF(H87&gt;0,H87,1),0)</f>
        <v/>
      </c>
      <c r="F87" s="245" t="n"/>
      <c r="G87" s="243" t="n"/>
      <c r="H87" s="245" t="n"/>
      <c r="I87" s="243" t="n"/>
      <c r="J87" s="246" t="n"/>
      <c r="K87" s="247" t="n"/>
      <c r="L87" s="248">
        <f>ROUNDUP(IF(Q87=0,0,Q87)*IF(R87&gt;0,R87,1)*IF(M87&gt;0,M87,1)*IF(O87&gt;0,O87,1),0)</f>
        <v/>
      </c>
      <c r="M87" s="245">
        <f>F87</f>
        <v/>
      </c>
      <c r="N87" s="243">
        <f>G87</f>
        <v/>
      </c>
      <c r="O87" s="245">
        <f>H87</f>
        <v/>
      </c>
      <c r="P87" s="243">
        <f>I87</f>
        <v/>
      </c>
      <c r="Q87" s="246">
        <f>J87</f>
        <v/>
      </c>
      <c r="R87" s="247">
        <f>K87</f>
        <v/>
      </c>
      <c r="S87" s="243" t="n"/>
      <c r="T87" s="249">
        <f>ROUNDUP(IF(Y87=0,0,Y87)*IF(Z87&gt;0,Z87,1)*IF(U87&gt;0,U87,1)*IF(W87&gt;0,W87,1),0)</f>
        <v/>
      </c>
      <c r="U87" s="245">
        <f>M87</f>
        <v/>
      </c>
      <c r="V87" s="243">
        <f>N87</f>
        <v/>
      </c>
      <c r="W87" s="245">
        <f>O87</f>
        <v/>
      </c>
      <c r="X87" s="243">
        <f>P87</f>
        <v/>
      </c>
      <c r="Y87" s="246">
        <f>Q87</f>
        <v/>
      </c>
      <c r="Z87" s="247">
        <f>R87</f>
        <v/>
      </c>
      <c r="AA87" s="243" t="n"/>
      <c r="AB87" s="254" t="n"/>
      <c r="AC87" s="254" t="n"/>
      <c r="AD87" s="254" t="n"/>
      <c r="AE87" s="254" t="n"/>
      <c r="AF87" s="254" t="n"/>
      <c r="AG87" s="255" t="n"/>
      <c r="AH87" s="256" t="n"/>
      <c r="AI87" s="253" t="n"/>
    </row>
    <row r="88" hidden="1" outlineLevel="1" s="592">
      <c r="A88" s="241">
        <f>$A74&amp;"."&amp;14</f>
        <v/>
      </c>
      <c r="B88" s="241" t="n"/>
      <c r="C88" s="255">
        <f>$C$74</f>
        <v/>
      </c>
      <c r="D88" s="243" t="n"/>
      <c r="E88" s="244">
        <f>ROUNDUP(IF(J88=0,0,J88)*IF(K88&gt;0,K88,1)*IF(F88&gt;0,F88,1)*IF(H88&gt;0,H88,1),0)</f>
        <v/>
      </c>
      <c r="F88" s="245" t="n"/>
      <c r="G88" s="243" t="n"/>
      <c r="H88" s="245" t="n"/>
      <c r="I88" s="243" t="n"/>
      <c r="J88" s="246" t="n"/>
      <c r="K88" s="247" t="n"/>
      <c r="L88" s="248">
        <f>ROUNDUP(IF(Q88=0,0,Q88)*IF(R88&gt;0,R88,1)*IF(M88&gt;0,M88,1)*IF(O88&gt;0,O88,1),0)</f>
        <v/>
      </c>
      <c r="M88" s="245">
        <f>F88</f>
        <v/>
      </c>
      <c r="N88" s="243">
        <f>G88</f>
        <v/>
      </c>
      <c r="O88" s="245">
        <f>H88</f>
        <v/>
      </c>
      <c r="P88" s="243">
        <f>I88</f>
        <v/>
      </c>
      <c r="Q88" s="246">
        <f>J88</f>
        <v/>
      </c>
      <c r="R88" s="247">
        <f>K88</f>
        <v/>
      </c>
      <c r="S88" s="243" t="n"/>
      <c r="T88" s="249">
        <f>ROUNDUP(IF(Y88=0,0,Y88)*IF(Z88&gt;0,Z88,1)*IF(U88&gt;0,U88,1)*IF(W88&gt;0,W88,1),0)</f>
        <v/>
      </c>
      <c r="U88" s="245">
        <f>M88</f>
        <v/>
      </c>
      <c r="V88" s="243">
        <f>N88</f>
        <v/>
      </c>
      <c r="W88" s="245">
        <f>O88</f>
        <v/>
      </c>
      <c r="X88" s="243">
        <f>P88</f>
        <v/>
      </c>
      <c r="Y88" s="246">
        <f>Q88</f>
        <v/>
      </c>
      <c r="Z88" s="247">
        <f>R88</f>
        <v/>
      </c>
      <c r="AA88" s="243" t="n"/>
      <c r="AB88" s="254" t="n"/>
      <c r="AC88" s="254" t="n"/>
      <c r="AD88" s="254" t="n"/>
      <c r="AE88" s="254" t="n"/>
      <c r="AF88" s="254" t="n"/>
      <c r="AG88" s="255" t="n"/>
      <c r="AH88" s="256" t="n"/>
      <c r="AI88" s="253" t="n"/>
    </row>
    <row r="89" hidden="1" outlineLevel="1" s="592">
      <c r="A89" s="241">
        <f>$A74&amp;"."&amp;15</f>
        <v/>
      </c>
      <c r="B89" s="241" t="n"/>
      <c r="C89" s="255">
        <f>$C$74</f>
        <v/>
      </c>
      <c r="D89" s="243" t="n"/>
      <c r="E89" s="244">
        <f>ROUNDUP(IF(J89=0,0,J89)*IF(K89&gt;0,K89,1)*IF(F89&gt;0,F89,1)*IF(H89&gt;0,H89,1),0)</f>
        <v/>
      </c>
      <c r="F89" s="245" t="n"/>
      <c r="G89" s="243" t="n"/>
      <c r="H89" s="245" t="n"/>
      <c r="I89" s="243" t="n"/>
      <c r="J89" s="246" t="n"/>
      <c r="K89" s="247" t="n"/>
      <c r="L89" s="248">
        <f>ROUNDUP(IF(Q89=0,0,Q89)*IF(R89&gt;0,R89,1)*IF(M89&gt;0,M89,1)*IF(O89&gt;0,O89,1),0)</f>
        <v/>
      </c>
      <c r="M89" s="245">
        <f>F89</f>
        <v/>
      </c>
      <c r="N89" s="243">
        <f>G89</f>
        <v/>
      </c>
      <c r="O89" s="245">
        <f>H89</f>
        <v/>
      </c>
      <c r="P89" s="243">
        <f>I89</f>
        <v/>
      </c>
      <c r="Q89" s="246">
        <f>J89</f>
        <v/>
      </c>
      <c r="R89" s="247">
        <f>K89</f>
        <v/>
      </c>
      <c r="S89" s="243" t="n"/>
      <c r="T89" s="249">
        <f>ROUNDUP(IF(Y89=0,0,Y89)*IF(Z89&gt;0,Z89,1)*IF(U89&gt;0,U89,1)*IF(W89&gt;0,W89,1),0)</f>
        <v/>
      </c>
      <c r="U89" s="245">
        <f>M89</f>
        <v/>
      </c>
      <c r="V89" s="243">
        <f>N89</f>
        <v/>
      </c>
      <c r="W89" s="245">
        <f>O89</f>
        <v/>
      </c>
      <c r="X89" s="243">
        <f>P89</f>
        <v/>
      </c>
      <c r="Y89" s="246">
        <f>Q89</f>
        <v/>
      </c>
      <c r="Z89" s="247">
        <f>R89</f>
        <v/>
      </c>
      <c r="AA89" s="243" t="n"/>
      <c r="AB89" s="254" t="n"/>
      <c r="AC89" s="254" t="n"/>
      <c r="AD89" s="254" t="n"/>
      <c r="AE89" s="254" t="n"/>
      <c r="AF89" s="254" t="n"/>
      <c r="AG89" s="255" t="n"/>
      <c r="AH89" s="256" t="n"/>
      <c r="AI89" s="253" t="n"/>
    </row>
    <row r="90" hidden="1" outlineLevel="1" s="592">
      <c r="A90" s="241">
        <f>$A74&amp;"."&amp;16</f>
        <v/>
      </c>
      <c r="B90" s="241" t="n"/>
      <c r="C90" s="255">
        <f>$C$74</f>
        <v/>
      </c>
      <c r="D90" s="243" t="n"/>
      <c r="E90" s="244">
        <f>ROUNDUP(IF(J90=0,0,J90)*IF(K90&gt;0,K90,1)*IF(F90&gt;0,F90,1)*IF(H90&gt;0,H90,1),0)</f>
        <v/>
      </c>
      <c r="F90" s="245" t="n"/>
      <c r="G90" s="243" t="n"/>
      <c r="H90" s="245" t="n"/>
      <c r="I90" s="243" t="n"/>
      <c r="J90" s="246" t="n"/>
      <c r="K90" s="247" t="n"/>
      <c r="L90" s="248">
        <f>ROUNDUP(IF(Q90=0,0,Q90)*IF(R90&gt;0,R90,1)*IF(M90&gt;0,M90,1)*IF(O90&gt;0,O90,1),0)</f>
        <v/>
      </c>
      <c r="M90" s="245">
        <f>F90</f>
        <v/>
      </c>
      <c r="N90" s="243">
        <f>G90</f>
        <v/>
      </c>
      <c r="O90" s="245">
        <f>H90</f>
        <v/>
      </c>
      <c r="P90" s="243">
        <f>I90</f>
        <v/>
      </c>
      <c r="Q90" s="246">
        <f>J90</f>
        <v/>
      </c>
      <c r="R90" s="247">
        <f>K90</f>
        <v/>
      </c>
      <c r="S90" s="243" t="n"/>
      <c r="T90" s="249">
        <f>ROUNDUP(IF(Y90=0,0,Y90)*IF(Z90&gt;0,Z90,1)*IF(U90&gt;0,U90,1)*IF(W90&gt;0,W90,1),0)</f>
        <v/>
      </c>
      <c r="U90" s="245">
        <f>M90</f>
        <v/>
      </c>
      <c r="V90" s="243">
        <f>N90</f>
        <v/>
      </c>
      <c r="W90" s="245">
        <f>O90</f>
        <v/>
      </c>
      <c r="X90" s="243">
        <f>P90</f>
        <v/>
      </c>
      <c r="Y90" s="246">
        <f>Q90</f>
        <v/>
      </c>
      <c r="Z90" s="247">
        <f>R90</f>
        <v/>
      </c>
      <c r="AA90" s="243" t="n"/>
      <c r="AB90" s="254" t="n"/>
      <c r="AC90" s="254" t="n"/>
      <c r="AD90" s="254" t="n"/>
      <c r="AE90" s="254" t="n"/>
      <c r="AF90" s="254" t="n"/>
      <c r="AG90" s="255" t="n"/>
      <c r="AH90" s="256" t="n"/>
      <c r="AI90" s="253" t="n"/>
    </row>
    <row r="91" hidden="1" outlineLevel="1" s="592">
      <c r="A91" s="241">
        <f>$A74&amp;"."&amp;17</f>
        <v/>
      </c>
      <c r="B91" s="241" t="n"/>
      <c r="C91" s="255">
        <f>$C$74</f>
        <v/>
      </c>
      <c r="D91" s="243" t="n"/>
      <c r="E91" s="244">
        <f>ROUNDUP(IF(J91=0,0,J91)*IF(K91&gt;0,K91,1)*IF(F91&gt;0,F91,1)*IF(H91&gt;0,H91,1),0)</f>
        <v/>
      </c>
      <c r="F91" s="245" t="n"/>
      <c r="G91" s="243" t="n"/>
      <c r="H91" s="245" t="n"/>
      <c r="I91" s="243" t="n"/>
      <c r="J91" s="246" t="n"/>
      <c r="K91" s="247" t="n"/>
      <c r="L91" s="248">
        <f>ROUNDUP(IF(Q91=0,0,Q91)*IF(R91&gt;0,R91,1)*IF(M91&gt;0,M91,1)*IF(O91&gt;0,O91,1),0)</f>
        <v/>
      </c>
      <c r="M91" s="245">
        <f>F91</f>
        <v/>
      </c>
      <c r="N91" s="243">
        <f>G91</f>
        <v/>
      </c>
      <c r="O91" s="245">
        <f>H91</f>
        <v/>
      </c>
      <c r="P91" s="243">
        <f>I91</f>
        <v/>
      </c>
      <c r="Q91" s="246">
        <f>J91</f>
        <v/>
      </c>
      <c r="R91" s="247">
        <f>K91</f>
        <v/>
      </c>
      <c r="S91" s="243" t="n"/>
      <c r="T91" s="249">
        <f>ROUNDUP(IF(Y91=0,0,Y91)*IF(Z91&gt;0,Z91,1)*IF(U91&gt;0,U91,1)*IF(W91&gt;0,W91,1),0)</f>
        <v/>
      </c>
      <c r="U91" s="245">
        <f>M91</f>
        <v/>
      </c>
      <c r="V91" s="243">
        <f>N91</f>
        <v/>
      </c>
      <c r="W91" s="245">
        <f>O91</f>
        <v/>
      </c>
      <c r="X91" s="243">
        <f>P91</f>
        <v/>
      </c>
      <c r="Y91" s="246">
        <f>Q91</f>
        <v/>
      </c>
      <c r="Z91" s="247">
        <f>R91</f>
        <v/>
      </c>
      <c r="AA91" s="243" t="n"/>
      <c r="AB91" s="254" t="n"/>
      <c r="AC91" s="254" t="n"/>
      <c r="AD91" s="254" t="n"/>
      <c r="AE91" s="254" t="n"/>
      <c r="AF91" s="254" t="n"/>
      <c r="AG91" s="255" t="n"/>
      <c r="AH91" s="256" t="n"/>
      <c r="AI91" s="253" t="n"/>
    </row>
    <row r="92" hidden="1" outlineLevel="1" s="592">
      <c r="A92" s="241">
        <f>$A74&amp;"."&amp;18</f>
        <v/>
      </c>
      <c r="B92" s="241" t="n"/>
      <c r="C92" s="255">
        <f>$C$74</f>
        <v/>
      </c>
      <c r="D92" s="243" t="n"/>
      <c r="E92" s="244">
        <f>ROUNDUP(IF(J92=0,0,J92)*IF(K92&gt;0,K92,1)*IF(F92&gt;0,F92,1)*IF(H92&gt;0,H92,1),0)</f>
        <v/>
      </c>
      <c r="F92" s="245" t="n"/>
      <c r="G92" s="243" t="n"/>
      <c r="H92" s="245" t="n"/>
      <c r="I92" s="243" t="n"/>
      <c r="J92" s="246" t="n"/>
      <c r="K92" s="247" t="n"/>
      <c r="L92" s="248">
        <f>ROUNDUP(IF(Q92=0,0,Q92)*IF(R92&gt;0,R92,1)*IF(M92&gt;0,M92,1)*IF(O92&gt;0,O92,1),0)</f>
        <v/>
      </c>
      <c r="M92" s="245">
        <f>F92</f>
        <v/>
      </c>
      <c r="N92" s="243">
        <f>G92</f>
        <v/>
      </c>
      <c r="O92" s="245">
        <f>H92</f>
        <v/>
      </c>
      <c r="P92" s="243">
        <f>I92</f>
        <v/>
      </c>
      <c r="Q92" s="246">
        <f>J92</f>
        <v/>
      </c>
      <c r="R92" s="247">
        <f>K92</f>
        <v/>
      </c>
      <c r="S92" s="243" t="n"/>
      <c r="T92" s="249">
        <f>ROUNDUP(IF(Y92=0,0,Y92)*IF(Z92&gt;0,Z92,1)*IF(U92&gt;0,U92,1)*IF(W92&gt;0,W92,1),0)</f>
        <v/>
      </c>
      <c r="U92" s="245">
        <f>M92</f>
        <v/>
      </c>
      <c r="V92" s="243">
        <f>N92</f>
        <v/>
      </c>
      <c r="W92" s="245">
        <f>O92</f>
        <v/>
      </c>
      <c r="X92" s="243">
        <f>P92</f>
        <v/>
      </c>
      <c r="Y92" s="246">
        <f>Q92</f>
        <v/>
      </c>
      <c r="Z92" s="247">
        <f>R92</f>
        <v/>
      </c>
      <c r="AA92" s="243" t="n"/>
      <c r="AB92" s="254" t="n"/>
      <c r="AC92" s="254" t="n"/>
      <c r="AD92" s="254" t="n"/>
      <c r="AE92" s="254" t="n"/>
      <c r="AF92" s="254" t="n"/>
      <c r="AG92" s="255" t="n"/>
      <c r="AH92" s="256" t="n"/>
      <c r="AI92" s="253" t="n"/>
    </row>
    <row r="93" hidden="1" outlineLevel="1" s="592">
      <c r="A93" s="241">
        <f>$A74&amp;"."&amp;19</f>
        <v/>
      </c>
      <c r="B93" s="241" t="n"/>
      <c r="C93" s="255">
        <f>$C$74</f>
        <v/>
      </c>
      <c r="D93" s="243" t="n"/>
      <c r="E93" s="244">
        <f>ROUNDUP(IF(J93=0,0,J93)*IF(K93&gt;0,K93,1)*IF(F93&gt;0,F93,1)*IF(H93&gt;0,H93,1),0)</f>
        <v/>
      </c>
      <c r="F93" s="245" t="n"/>
      <c r="G93" s="243" t="n"/>
      <c r="H93" s="245" t="n"/>
      <c r="I93" s="243" t="n"/>
      <c r="J93" s="246" t="n"/>
      <c r="K93" s="247" t="n"/>
      <c r="L93" s="248">
        <f>ROUNDUP(IF(Q93=0,0,Q93)*IF(R93&gt;0,R93,1)*IF(M93&gt;0,M93,1)*IF(O93&gt;0,O93,1),0)</f>
        <v/>
      </c>
      <c r="M93" s="245">
        <f>F93</f>
        <v/>
      </c>
      <c r="N93" s="243">
        <f>G93</f>
        <v/>
      </c>
      <c r="O93" s="245">
        <f>H93</f>
        <v/>
      </c>
      <c r="P93" s="243">
        <f>I93</f>
        <v/>
      </c>
      <c r="Q93" s="246">
        <f>J93</f>
        <v/>
      </c>
      <c r="R93" s="247">
        <f>K93</f>
        <v/>
      </c>
      <c r="S93" s="243" t="n"/>
      <c r="T93" s="249">
        <f>ROUNDUP(IF(Y93=0,0,Y93)*IF(Z93&gt;0,Z93,1)*IF(U93&gt;0,U93,1)*IF(W93&gt;0,W93,1),0)</f>
        <v/>
      </c>
      <c r="U93" s="245">
        <f>M93</f>
        <v/>
      </c>
      <c r="V93" s="243">
        <f>N93</f>
        <v/>
      </c>
      <c r="W93" s="245">
        <f>O93</f>
        <v/>
      </c>
      <c r="X93" s="243">
        <f>P93</f>
        <v/>
      </c>
      <c r="Y93" s="246">
        <f>Q93</f>
        <v/>
      </c>
      <c r="Z93" s="247">
        <f>R93</f>
        <v/>
      </c>
      <c r="AA93" s="243" t="n"/>
      <c r="AB93" s="254" t="n"/>
      <c r="AC93" s="254" t="n"/>
      <c r="AD93" s="254" t="n"/>
      <c r="AE93" s="254" t="n"/>
      <c r="AF93" s="254" t="n"/>
      <c r="AG93" s="255" t="n"/>
      <c r="AH93" s="256" t="n"/>
      <c r="AI93" s="253" t="n"/>
    </row>
    <row r="94" hidden="1" outlineLevel="1" s="592">
      <c r="A94" s="241">
        <f>$A74&amp;"."&amp;20</f>
        <v/>
      </c>
      <c r="B94" s="241" t="n"/>
      <c r="C94" s="255">
        <f>$C$74</f>
        <v/>
      </c>
      <c r="D94" s="243" t="n"/>
      <c r="E94" s="244">
        <f>ROUNDUP(IF(J94=0,0,J94)*IF(K94&gt;0,K94,1)*IF(F94&gt;0,F94,1)*IF(H94&gt;0,H94,1),0)</f>
        <v/>
      </c>
      <c r="F94" s="245" t="n"/>
      <c r="G94" s="243" t="n"/>
      <c r="H94" s="245" t="n"/>
      <c r="I94" s="243" t="n"/>
      <c r="J94" s="246" t="n"/>
      <c r="K94" s="247" t="n"/>
      <c r="L94" s="248">
        <f>ROUNDUP(IF(Q94=0,0,Q94)*IF(R94&gt;0,R94,1)*IF(M94&gt;0,M94,1)*IF(O94&gt;0,O94,1),0)</f>
        <v/>
      </c>
      <c r="M94" s="245">
        <f>F94</f>
        <v/>
      </c>
      <c r="N94" s="243">
        <f>G94</f>
        <v/>
      </c>
      <c r="O94" s="245">
        <f>H94</f>
        <v/>
      </c>
      <c r="P94" s="243">
        <f>I94</f>
        <v/>
      </c>
      <c r="Q94" s="246">
        <f>J94</f>
        <v/>
      </c>
      <c r="R94" s="247">
        <f>K94</f>
        <v/>
      </c>
      <c r="S94" s="243" t="n"/>
      <c r="T94" s="249">
        <f>ROUNDUP(IF(Y94=0,0,Y94)*IF(Z94&gt;0,Z94,1)*IF(U94&gt;0,U94,1)*IF(W94&gt;0,W94,1),0)</f>
        <v/>
      </c>
      <c r="U94" s="245">
        <f>M94</f>
        <v/>
      </c>
      <c r="V94" s="243">
        <f>N94</f>
        <v/>
      </c>
      <c r="W94" s="245">
        <f>O94</f>
        <v/>
      </c>
      <c r="X94" s="243">
        <f>P94</f>
        <v/>
      </c>
      <c r="Y94" s="246">
        <f>Q94</f>
        <v/>
      </c>
      <c r="Z94" s="247">
        <f>R94</f>
        <v/>
      </c>
      <c r="AA94" s="243" t="n"/>
      <c r="AB94" s="254" t="n"/>
      <c r="AC94" s="254" t="n"/>
      <c r="AD94" s="254" t="n"/>
      <c r="AE94" s="254" t="n"/>
      <c r="AF94" s="254" t="n"/>
      <c r="AG94" s="255" t="n"/>
      <c r="AH94" s="256" t="n"/>
      <c r="AI94" s="253" t="n"/>
    </row>
    <row r="95" collapsed="1" s="592">
      <c r="A95" s="257" t="n">
        <v>5</v>
      </c>
      <c r="B95" s="257">
        <f>IFERROR(__xludf.DUMMYFUNCTION("vlookup(C95,IMPORTRANGE(REF!$B$3,""FP!B:C""),2,0)"),"#N/A")</f>
        <v/>
      </c>
      <c r="C95" s="237" t="inlineStr">
        <is>
          <t>ชื่อกิจกรรมที่ 5</t>
        </is>
      </c>
      <c r="D95" s="232" t="n"/>
      <c r="E95" s="233">
        <f>SUM(E96:E115)</f>
        <v/>
      </c>
      <c r="F95" s="234" t="n"/>
      <c r="G95" s="235" t="n"/>
      <c r="H95" s="234" t="n"/>
      <c r="I95" s="235" t="n"/>
      <c r="J95" s="233" t="n"/>
      <c r="K95" s="236" t="n"/>
      <c r="L95" s="233">
        <f>SUM(L96:L115)</f>
        <v/>
      </c>
      <c r="M95" s="234" t="n"/>
      <c r="N95" s="235" t="n"/>
      <c r="O95" s="234" t="n"/>
      <c r="P95" s="235" t="n"/>
      <c r="Q95" s="233" t="n"/>
      <c r="R95" s="236" t="n"/>
      <c r="S95" s="235" t="n"/>
      <c r="T95" s="233">
        <f>SUM(T96:T115)</f>
        <v/>
      </c>
      <c r="U95" s="234" t="n"/>
      <c r="V95" s="235" t="n"/>
      <c r="W95" s="234" t="n"/>
      <c r="X95" s="235" t="n"/>
      <c r="Y95" s="233" t="n"/>
      <c r="Z95" s="236" t="n"/>
      <c r="AA95" s="235" t="n"/>
      <c r="AB95" s="237" t="n"/>
      <c r="AC95" s="237" t="n"/>
      <c r="AD95" s="237" t="n"/>
      <c r="AE95" s="237" t="n"/>
      <c r="AF95" s="237" t="n"/>
      <c r="AG95" s="238" t="b">
        <v>0</v>
      </c>
      <c r="AH95" s="239" t="n"/>
      <c r="AI95" s="253" t="n"/>
    </row>
    <row r="96" hidden="1" outlineLevel="1" s="592">
      <c r="A96" s="241">
        <f>$A95&amp;"."&amp;1</f>
        <v/>
      </c>
      <c r="B96" s="241" t="n"/>
      <c r="C96" s="255">
        <f>$C$95</f>
        <v/>
      </c>
      <c r="D96" s="243" t="n"/>
      <c r="E96" s="244">
        <f>ROUNDUP(IF(J96=0,0,J96)*IF(K96&gt;0,K96,1)*IF(F96&gt;0,F96,1)*IF(H96&gt;0,H96,1),0)</f>
        <v/>
      </c>
      <c r="F96" s="245" t="n"/>
      <c r="G96" s="243" t="n"/>
      <c r="H96" s="245" t="n"/>
      <c r="I96" s="243" t="n"/>
      <c r="J96" s="246" t="n"/>
      <c r="K96" s="247" t="n"/>
      <c r="L96" s="248">
        <f>ROUNDUP(IF(Q96=0,0,Q96)*IF(R96&gt;0,R96,1)*IF(M96&gt;0,M96,1)*IF(O96&gt;0,O96,1),0)</f>
        <v/>
      </c>
      <c r="M96" s="245">
        <f>F96</f>
        <v/>
      </c>
      <c r="N96" s="243">
        <f>G96</f>
        <v/>
      </c>
      <c r="O96" s="245">
        <f>H96</f>
        <v/>
      </c>
      <c r="P96" s="243">
        <f>I96</f>
        <v/>
      </c>
      <c r="Q96" s="246">
        <f>J96</f>
        <v/>
      </c>
      <c r="R96" s="247">
        <f>K96</f>
        <v/>
      </c>
      <c r="S96" s="243" t="n"/>
      <c r="T96" s="249">
        <f>ROUNDUP(IF(Y96=0,0,Y96)*IF(Z96&gt;0,Z96,1)*IF(U96&gt;0,U96,1)*IF(W96&gt;0,W96,1),0)</f>
        <v/>
      </c>
      <c r="U96" s="245">
        <f>M96</f>
        <v/>
      </c>
      <c r="V96" s="243">
        <f>N96</f>
        <v/>
      </c>
      <c r="W96" s="245">
        <f>O96</f>
        <v/>
      </c>
      <c r="X96" s="243">
        <f>P96</f>
        <v/>
      </c>
      <c r="Y96" s="246">
        <f>Q96</f>
        <v/>
      </c>
      <c r="Z96" s="247">
        <f>R96</f>
        <v/>
      </c>
      <c r="AA96" s="243" t="n"/>
      <c r="AB96" s="254" t="n"/>
      <c r="AC96" s="254" t="n"/>
      <c r="AD96" s="254" t="n"/>
      <c r="AE96" s="254" t="n"/>
      <c r="AF96" s="254" t="n"/>
      <c r="AG96" s="255" t="n"/>
      <c r="AH96" s="256" t="n"/>
      <c r="AI96" s="253" t="n"/>
    </row>
    <row r="97" hidden="1" outlineLevel="1" s="592">
      <c r="A97" s="241">
        <f>$A95&amp;"."&amp;2</f>
        <v/>
      </c>
      <c r="B97" s="241" t="n"/>
      <c r="C97" s="255">
        <f>$C$95</f>
        <v/>
      </c>
      <c r="D97" s="243" t="n"/>
      <c r="E97" s="244">
        <f>ROUNDUP(IF(J97=0,0,J97)*IF(K97&gt;0,K97,1)*IF(F97&gt;0,F97,1)*IF(H97&gt;0,H97,1),0)</f>
        <v/>
      </c>
      <c r="F97" s="245" t="n"/>
      <c r="G97" s="243" t="n"/>
      <c r="H97" s="245" t="n"/>
      <c r="I97" s="243" t="n"/>
      <c r="J97" s="246" t="n"/>
      <c r="K97" s="247" t="n"/>
      <c r="L97" s="248">
        <f>ROUNDUP(IF(Q97=0,0,Q97)*IF(R97&gt;0,R97,1)*IF(M97&gt;0,M97,1)*IF(O97&gt;0,O97,1),0)</f>
        <v/>
      </c>
      <c r="M97" s="245">
        <f>F97</f>
        <v/>
      </c>
      <c r="N97" s="243">
        <f>G97</f>
        <v/>
      </c>
      <c r="O97" s="245">
        <f>H97</f>
        <v/>
      </c>
      <c r="P97" s="243">
        <f>I97</f>
        <v/>
      </c>
      <c r="Q97" s="246">
        <f>J97</f>
        <v/>
      </c>
      <c r="R97" s="247">
        <f>K97</f>
        <v/>
      </c>
      <c r="S97" s="243" t="n"/>
      <c r="T97" s="249">
        <f>ROUNDUP(IF(Y97=0,0,Y97)*IF(Z97&gt;0,Z97,1)*IF(U97&gt;0,U97,1)*IF(W97&gt;0,W97,1),0)</f>
        <v/>
      </c>
      <c r="U97" s="245">
        <f>M97</f>
        <v/>
      </c>
      <c r="V97" s="243">
        <f>N97</f>
        <v/>
      </c>
      <c r="W97" s="245">
        <f>O97</f>
        <v/>
      </c>
      <c r="X97" s="243">
        <f>P97</f>
        <v/>
      </c>
      <c r="Y97" s="246">
        <f>Q97</f>
        <v/>
      </c>
      <c r="Z97" s="247">
        <f>R97</f>
        <v/>
      </c>
      <c r="AA97" s="243" t="n"/>
      <c r="AB97" s="254" t="n"/>
      <c r="AC97" s="254" t="n"/>
      <c r="AD97" s="254" t="n"/>
      <c r="AE97" s="254" t="n"/>
      <c r="AF97" s="254" t="n"/>
      <c r="AG97" s="255" t="n"/>
      <c r="AH97" s="256" t="n"/>
      <c r="AI97" s="253" t="n"/>
    </row>
    <row r="98" hidden="1" outlineLevel="1" s="592">
      <c r="A98" s="241">
        <f>$A95&amp;"."&amp;3</f>
        <v/>
      </c>
      <c r="B98" s="241" t="n"/>
      <c r="C98" s="255">
        <f>$C$95</f>
        <v/>
      </c>
      <c r="D98" s="243" t="n"/>
      <c r="E98" s="244">
        <f>ROUNDUP(IF(J98=0,0,J98)*IF(K98&gt;0,K98,1)*IF(F98&gt;0,F98,1)*IF(H98&gt;0,H98,1),0)</f>
        <v/>
      </c>
      <c r="F98" s="245" t="n"/>
      <c r="G98" s="243" t="n"/>
      <c r="H98" s="245" t="n"/>
      <c r="I98" s="243" t="n"/>
      <c r="J98" s="246" t="n"/>
      <c r="K98" s="247" t="n"/>
      <c r="L98" s="248">
        <f>ROUNDUP(IF(Q98=0,0,Q98)*IF(R98&gt;0,R98,1)*IF(M98&gt;0,M98,1)*IF(O98&gt;0,O98,1),0)</f>
        <v/>
      </c>
      <c r="M98" s="245">
        <f>F98</f>
        <v/>
      </c>
      <c r="N98" s="243">
        <f>G98</f>
        <v/>
      </c>
      <c r="O98" s="245">
        <f>H98</f>
        <v/>
      </c>
      <c r="P98" s="243">
        <f>I98</f>
        <v/>
      </c>
      <c r="Q98" s="246">
        <f>J98</f>
        <v/>
      </c>
      <c r="R98" s="247">
        <f>K98</f>
        <v/>
      </c>
      <c r="S98" s="243" t="n"/>
      <c r="T98" s="249">
        <f>ROUNDUP(IF(Y98=0,0,Y98)*IF(Z98&gt;0,Z98,1)*IF(U98&gt;0,U98,1)*IF(W98&gt;0,W98,1),0)</f>
        <v/>
      </c>
      <c r="U98" s="245">
        <f>M98</f>
        <v/>
      </c>
      <c r="V98" s="243">
        <f>N98</f>
        <v/>
      </c>
      <c r="W98" s="245">
        <f>O98</f>
        <v/>
      </c>
      <c r="X98" s="243">
        <f>P98</f>
        <v/>
      </c>
      <c r="Y98" s="246">
        <f>Q98</f>
        <v/>
      </c>
      <c r="Z98" s="247">
        <f>R98</f>
        <v/>
      </c>
      <c r="AA98" s="243" t="n"/>
      <c r="AB98" s="254" t="n"/>
      <c r="AC98" s="254" t="n"/>
      <c r="AD98" s="254" t="n"/>
      <c r="AE98" s="254" t="n"/>
      <c r="AF98" s="254" t="n"/>
      <c r="AG98" s="255" t="n"/>
      <c r="AH98" s="256" t="n"/>
      <c r="AI98" s="253" t="n"/>
    </row>
    <row r="99" hidden="1" outlineLevel="1" s="592">
      <c r="A99" s="241">
        <f>$A95&amp;"."&amp;4</f>
        <v/>
      </c>
      <c r="B99" s="241" t="n"/>
      <c r="C99" s="255">
        <f>$C$95</f>
        <v/>
      </c>
      <c r="D99" s="243" t="n"/>
      <c r="E99" s="244">
        <f>ROUNDUP(IF(J99=0,0,J99)*IF(K99&gt;0,K99,1)*IF(F99&gt;0,F99,1)*IF(H99&gt;0,H99,1),0)</f>
        <v/>
      </c>
      <c r="F99" s="245" t="n"/>
      <c r="G99" s="243" t="n"/>
      <c r="H99" s="245" t="n"/>
      <c r="I99" s="243" t="n"/>
      <c r="J99" s="246" t="n"/>
      <c r="K99" s="247" t="n"/>
      <c r="L99" s="248">
        <f>ROUNDUP(IF(Q99=0,0,Q99)*IF(R99&gt;0,R99,1)*IF(M99&gt;0,M99,1)*IF(O99&gt;0,O99,1),0)</f>
        <v/>
      </c>
      <c r="M99" s="245">
        <f>F99</f>
        <v/>
      </c>
      <c r="N99" s="243">
        <f>G99</f>
        <v/>
      </c>
      <c r="O99" s="245">
        <f>H99</f>
        <v/>
      </c>
      <c r="P99" s="243">
        <f>I99</f>
        <v/>
      </c>
      <c r="Q99" s="246">
        <f>J99</f>
        <v/>
      </c>
      <c r="R99" s="247">
        <f>K99</f>
        <v/>
      </c>
      <c r="S99" s="243" t="n"/>
      <c r="T99" s="249">
        <f>ROUNDUP(IF(Y99=0,0,Y99)*IF(Z99&gt;0,Z99,1)*IF(U99&gt;0,U99,1)*IF(W99&gt;0,W99,1),0)</f>
        <v/>
      </c>
      <c r="U99" s="245">
        <f>M99</f>
        <v/>
      </c>
      <c r="V99" s="243">
        <f>N99</f>
        <v/>
      </c>
      <c r="W99" s="245">
        <f>O99</f>
        <v/>
      </c>
      <c r="X99" s="243">
        <f>P99</f>
        <v/>
      </c>
      <c r="Y99" s="246">
        <f>Q99</f>
        <v/>
      </c>
      <c r="Z99" s="247">
        <f>R99</f>
        <v/>
      </c>
      <c r="AA99" s="243" t="n"/>
      <c r="AB99" s="254" t="n"/>
      <c r="AC99" s="254" t="n"/>
      <c r="AD99" s="254" t="n"/>
      <c r="AE99" s="254" t="n"/>
      <c r="AF99" s="254" t="n"/>
      <c r="AG99" s="255" t="n"/>
      <c r="AH99" s="256" t="n"/>
      <c r="AI99" s="253" t="n"/>
    </row>
    <row r="100" hidden="1" outlineLevel="1" s="592">
      <c r="A100" s="241">
        <f>$A95&amp;"."&amp;5</f>
        <v/>
      </c>
      <c r="B100" s="241" t="n"/>
      <c r="C100" s="255">
        <f>$C$95</f>
        <v/>
      </c>
      <c r="D100" s="243" t="n"/>
      <c r="E100" s="244">
        <f>ROUNDUP(IF(J100=0,0,J100)*IF(K100&gt;0,K100,1)*IF(F100&gt;0,F100,1)*IF(H100&gt;0,H100,1),0)</f>
        <v/>
      </c>
      <c r="F100" s="245" t="n"/>
      <c r="G100" s="243" t="n"/>
      <c r="H100" s="245" t="n"/>
      <c r="I100" s="243" t="n"/>
      <c r="J100" s="246" t="n"/>
      <c r="K100" s="247" t="n"/>
      <c r="L100" s="248">
        <f>ROUNDUP(IF(Q100=0,0,Q100)*IF(R100&gt;0,R100,1)*IF(M100&gt;0,M100,1)*IF(O100&gt;0,O100,1),0)</f>
        <v/>
      </c>
      <c r="M100" s="245">
        <f>F100</f>
        <v/>
      </c>
      <c r="N100" s="243">
        <f>G100</f>
        <v/>
      </c>
      <c r="O100" s="245">
        <f>H100</f>
        <v/>
      </c>
      <c r="P100" s="243">
        <f>I100</f>
        <v/>
      </c>
      <c r="Q100" s="246">
        <f>J100</f>
        <v/>
      </c>
      <c r="R100" s="247">
        <f>K100</f>
        <v/>
      </c>
      <c r="S100" s="243" t="n"/>
      <c r="T100" s="249">
        <f>ROUNDUP(IF(Y100=0,0,Y100)*IF(Z100&gt;0,Z100,1)*IF(U100&gt;0,U100,1)*IF(W100&gt;0,W100,1),0)</f>
        <v/>
      </c>
      <c r="U100" s="245">
        <f>M100</f>
        <v/>
      </c>
      <c r="V100" s="243">
        <f>N100</f>
        <v/>
      </c>
      <c r="W100" s="245">
        <f>O100</f>
        <v/>
      </c>
      <c r="X100" s="243">
        <f>P100</f>
        <v/>
      </c>
      <c r="Y100" s="246">
        <f>Q100</f>
        <v/>
      </c>
      <c r="Z100" s="247">
        <f>R100</f>
        <v/>
      </c>
      <c r="AA100" s="243" t="n"/>
      <c r="AB100" s="254" t="n"/>
      <c r="AC100" s="254" t="n"/>
      <c r="AD100" s="254" t="n"/>
      <c r="AE100" s="254" t="n"/>
      <c r="AF100" s="254" t="n"/>
      <c r="AG100" s="255" t="n"/>
      <c r="AH100" s="256" t="n"/>
      <c r="AI100" s="253" t="n"/>
    </row>
    <row r="101" hidden="1" outlineLevel="1" s="592">
      <c r="A101" s="241">
        <f>$A95&amp;"."&amp;6</f>
        <v/>
      </c>
      <c r="B101" s="241" t="n"/>
      <c r="C101" s="255">
        <f>$C$95</f>
        <v/>
      </c>
      <c r="D101" s="243" t="n"/>
      <c r="E101" s="244">
        <f>ROUNDUP(IF(J101=0,0,J101)*IF(K101&gt;0,K101,1)*IF(F101&gt;0,F101,1)*IF(H101&gt;0,H101,1),0)</f>
        <v/>
      </c>
      <c r="F101" s="245" t="n"/>
      <c r="G101" s="243" t="n"/>
      <c r="H101" s="245" t="n"/>
      <c r="I101" s="243" t="n"/>
      <c r="J101" s="246" t="n"/>
      <c r="K101" s="247" t="n"/>
      <c r="L101" s="248">
        <f>ROUNDUP(IF(Q101=0,0,Q101)*IF(R101&gt;0,R101,1)*IF(M101&gt;0,M101,1)*IF(O101&gt;0,O101,1),0)</f>
        <v/>
      </c>
      <c r="M101" s="245">
        <f>F101</f>
        <v/>
      </c>
      <c r="N101" s="243">
        <f>G101</f>
        <v/>
      </c>
      <c r="O101" s="245">
        <f>H101</f>
        <v/>
      </c>
      <c r="P101" s="243">
        <f>I101</f>
        <v/>
      </c>
      <c r="Q101" s="246">
        <f>J101</f>
        <v/>
      </c>
      <c r="R101" s="247">
        <f>K101</f>
        <v/>
      </c>
      <c r="S101" s="243" t="n"/>
      <c r="T101" s="249">
        <f>ROUNDUP(IF(Y101=0,0,Y101)*IF(Z101&gt;0,Z101,1)*IF(U101&gt;0,U101,1)*IF(W101&gt;0,W101,1),0)</f>
        <v/>
      </c>
      <c r="U101" s="245">
        <f>M101</f>
        <v/>
      </c>
      <c r="V101" s="243">
        <f>N101</f>
        <v/>
      </c>
      <c r="W101" s="245">
        <f>O101</f>
        <v/>
      </c>
      <c r="X101" s="243">
        <f>P101</f>
        <v/>
      </c>
      <c r="Y101" s="246">
        <f>Q101</f>
        <v/>
      </c>
      <c r="Z101" s="247">
        <f>R101</f>
        <v/>
      </c>
      <c r="AA101" s="243" t="n"/>
      <c r="AB101" s="254" t="n"/>
      <c r="AC101" s="254" t="n"/>
      <c r="AD101" s="254" t="n"/>
      <c r="AE101" s="254" t="n"/>
      <c r="AF101" s="254" t="n"/>
      <c r="AG101" s="255" t="n"/>
      <c r="AH101" s="256" t="n"/>
      <c r="AI101" s="253" t="n"/>
    </row>
    <row r="102" hidden="1" outlineLevel="1" s="592">
      <c r="A102" s="241">
        <f>$A95&amp;"."&amp;7</f>
        <v/>
      </c>
      <c r="B102" s="241" t="n"/>
      <c r="C102" s="255">
        <f>$C$95</f>
        <v/>
      </c>
      <c r="D102" s="243" t="n"/>
      <c r="E102" s="244">
        <f>ROUNDUP(IF(J102=0,0,J102)*IF(K102&gt;0,K102,1)*IF(F102&gt;0,F102,1)*IF(H102&gt;0,H102,1),0)</f>
        <v/>
      </c>
      <c r="F102" s="245" t="n"/>
      <c r="G102" s="243" t="n"/>
      <c r="H102" s="245" t="n"/>
      <c r="I102" s="243" t="n"/>
      <c r="J102" s="246" t="n"/>
      <c r="K102" s="247" t="n"/>
      <c r="L102" s="248">
        <f>ROUNDUP(IF(Q102=0,0,Q102)*IF(R102&gt;0,R102,1)*IF(M102&gt;0,M102,1)*IF(O102&gt;0,O102,1),0)</f>
        <v/>
      </c>
      <c r="M102" s="245">
        <f>F102</f>
        <v/>
      </c>
      <c r="N102" s="243">
        <f>G102</f>
        <v/>
      </c>
      <c r="O102" s="245">
        <f>H102</f>
        <v/>
      </c>
      <c r="P102" s="243">
        <f>I102</f>
        <v/>
      </c>
      <c r="Q102" s="246">
        <f>J102</f>
        <v/>
      </c>
      <c r="R102" s="247">
        <f>K102</f>
        <v/>
      </c>
      <c r="S102" s="243" t="n"/>
      <c r="T102" s="249">
        <f>ROUNDUP(IF(Y102=0,0,Y102)*IF(Z102&gt;0,Z102,1)*IF(U102&gt;0,U102,1)*IF(W102&gt;0,W102,1),0)</f>
        <v/>
      </c>
      <c r="U102" s="245">
        <f>M102</f>
        <v/>
      </c>
      <c r="V102" s="243">
        <f>N102</f>
        <v/>
      </c>
      <c r="W102" s="245">
        <f>O102</f>
        <v/>
      </c>
      <c r="X102" s="243">
        <f>P102</f>
        <v/>
      </c>
      <c r="Y102" s="246">
        <f>Q102</f>
        <v/>
      </c>
      <c r="Z102" s="247">
        <f>R102</f>
        <v/>
      </c>
      <c r="AA102" s="243" t="n"/>
      <c r="AB102" s="254" t="n"/>
      <c r="AC102" s="254" t="n"/>
      <c r="AD102" s="254" t="n"/>
      <c r="AE102" s="254" t="n"/>
      <c r="AF102" s="254" t="n"/>
      <c r="AG102" s="255" t="n"/>
      <c r="AH102" s="256" t="n"/>
      <c r="AI102" s="253" t="n"/>
    </row>
    <row r="103" hidden="1" outlineLevel="1" s="592">
      <c r="A103" s="241">
        <f>$A95&amp;"."&amp;8</f>
        <v/>
      </c>
      <c r="B103" s="241" t="n"/>
      <c r="C103" s="255">
        <f>$C$95</f>
        <v/>
      </c>
      <c r="D103" s="243" t="n"/>
      <c r="E103" s="244">
        <f>ROUNDUP(IF(J103=0,0,J103)*IF(K103&gt;0,K103,1)*IF(F103&gt;0,F103,1)*IF(H103&gt;0,H103,1),0)</f>
        <v/>
      </c>
      <c r="F103" s="245" t="n"/>
      <c r="G103" s="243" t="n"/>
      <c r="H103" s="245" t="n"/>
      <c r="I103" s="243" t="n"/>
      <c r="J103" s="246" t="n"/>
      <c r="K103" s="247" t="n"/>
      <c r="L103" s="248">
        <f>ROUNDUP(IF(Q103=0,0,Q103)*IF(R103&gt;0,R103,1)*IF(M103&gt;0,M103,1)*IF(O103&gt;0,O103,1),0)</f>
        <v/>
      </c>
      <c r="M103" s="245">
        <f>F103</f>
        <v/>
      </c>
      <c r="N103" s="243">
        <f>G103</f>
        <v/>
      </c>
      <c r="O103" s="245">
        <f>H103</f>
        <v/>
      </c>
      <c r="P103" s="243">
        <f>I103</f>
        <v/>
      </c>
      <c r="Q103" s="246">
        <f>J103</f>
        <v/>
      </c>
      <c r="R103" s="247">
        <f>K103</f>
        <v/>
      </c>
      <c r="S103" s="243" t="n"/>
      <c r="T103" s="249">
        <f>ROUNDUP(IF(Y103=0,0,Y103)*IF(Z103&gt;0,Z103,1)*IF(U103&gt;0,U103,1)*IF(W103&gt;0,W103,1),0)</f>
        <v/>
      </c>
      <c r="U103" s="245">
        <f>M103</f>
        <v/>
      </c>
      <c r="V103" s="243">
        <f>N103</f>
        <v/>
      </c>
      <c r="W103" s="245">
        <f>O103</f>
        <v/>
      </c>
      <c r="X103" s="243">
        <f>P103</f>
        <v/>
      </c>
      <c r="Y103" s="246">
        <f>Q103</f>
        <v/>
      </c>
      <c r="Z103" s="247">
        <f>R103</f>
        <v/>
      </c>
      <c r="AA103" s="243" t="n"/>
      <c r="AB103" s="254" t="n"/>
      <c r="AC103" s="254" t="n"/>
      <c r="AD103" s="254" t="n"/>
      <c r="AE103" s="254" t="n"/>
      <c r="AF103" s="254" t="n"/>
      <c r="AG103" s="255" t="n"/>
      <c r="AH103" s="256" t="n"/>
      <c r="AI103" s="253" t="n"/>
    </row>
    <row r="104" hidden="1" outlineLevel="1" s="592">
      <c r="A104" s="241">
        <f>$A95&amp;"."&amp;9</f>
        <v/>
      </c>
      <c r="B104" s="241" t="n"/>
      <c r="C104" s="255">
        <f>$C$95</f>
        <v/>
      </c>
      <c r="D104" s="243" t="n"/>
      <c r="E104" s="244">
        <f>ROUNDUP(IF(J104=0,0,J104)*IF(K104&gt;0,K104,1)*IF(F104&gt;0,F104,1)*IF(H104&gt;0,H104,1),0)</f>
        <v/>
      </c>
      <c r="F104" s="245" t="n"/>
      <c r="G104" s="243" t="n"/>
      <c r="H104" s="245" t="n"/>
      <c r="I104" s="243" t="n"/>
      <c r="J104" s="246" t="n"/>
      <c r="K104" s="247" t="n"/>
      <c r="L104" s="248">
        <f>ROUNDUP(IF(Q104=0,0,Q104)*IF(R104&gt;0,R104,1)*IF(M104&gt;0,M104,1)*IF(O104&gt;0,O104,1),0)</f>
        <v/>
      </c>
      <c r="M104" s="245">
        <f>F104</f>
        <v/>
      </c>
      <c r="N104" s="243">
        <f>G104</f>
        <v/>
      </c>
      <c r="O104" s="245">
        <f>H104</f>
        <v/>
      </c>
      <c r="P104" s="243">
        <f>I104</f>
        <v/>
      </c>
      <c r="Q104" s="246">
        <f>J104</f>
        <v/>
      </c>
      <c r="R104" s="247">
        <f>K104</f>
        <v/>
      </c>
      <c r="S104" s="243" t="n"/>
      <c r="T104" s="249">
        <f>ROUNDUP(IF(Y104=0,0,Y104)*IF(Z104&gt;0,Z104,1)*IF(U104&gt;0,U104,1)*IF(W104&gt;0,W104,1),0)</f>
        <v/>
      </c>
      <c r="U104" s="245">
        <f>M104</f>
        <v/>
      </c>
      <c r="V104" s="243">
        <f>N104</f>
        <v/>
      </c>
      <c r="W104" s="245">
        <f>O104</f>
        <v/>
      </c>
      <c r="X104" s="243">
        <f>P104</f>
        <v/>
      </c>
      <c r="Y104" s="246">
        <f>Q104</f>
        <v/>
      </c>
      <c r="Z104" s="247">
        <f>R104</f>
        <v/>
      </c>
      <c r="AA104" s="243" t="n"/>
      <c r="AB104" s="254" t="n"/>
      <c r="AC104" s="254" t="n"/>
      <c r="AD104" s="254" t="n"/>
      <c r="AE104" s="254" t="n"/>
      <c r="AF104" s="254" t="n"/>
      <c r="AG104" s="255" t="n"/>
      <c r="AH104" s="256" t="n"/>
      <c r="AI104" s="253" t="n"/>
    </row>
    <row r="105" hidden="1" outlineLevel="1" s="592">
      <c r="A105" s="241">
        <f>$A95&amp;"."&amp;10</f>
        <v/>
      </c>
      <c r="B105" s="241" t="n"/>
      <c r="C105" s="255">
        <f>$C$95</f>
        <v/>
      </c>
      <c r="D105" s="243" t="n"/>
      <c r="E105" s="244">
        <f>ROUNDUP(IF(J105=0,0,J105)*IF(K105&gt;0,K105,1)*IF(F105&gt;0,F105,1)*IF(H105&gt;0,H105,1),0)</f>
        <v/>
      </c>
      <c r="F105" s="245" t="n"/>
      <c r="G105" s="243" t="n"/>
      <c r="H105" s="245" t="n"/>
      <c r="I105" s="243" t="n"/>
      <c r="J105" s="246" t="n"/>
      <c r="K105" s="247" t="n"/>
      <c r="L105" s="248">
        <f>ROUNDUP(IF(Q105=0,0,Q105)*IF(R105&gt;0,R105,1)*IF(M105&gt;0,M105,1)*IF(O105&gt;0,O105,1),0)</f>
        <v/>
      </c>
      <c r="M105" s="245">
        <f>F105</f>
        <v/>
      </c>
      <c r="N105" s="243">
        <f>G105</f>
        <v/>
      </c>
      <c r="O105" s="245">
        <f>H105</f>
        <v/>
      </c>
      <c r="P105" s="243">
        <f>I105</f>
        <v/>
      </c>
      <c r="Q105" s="246">
        <f>J105</f>
        <v/>
      </c>
      <c r="R105" s="247">
        <f>K105</f>
        <v/>
      </c>
      <c r="S105" s="243" t="n"/>
      <c r="T105" s="249">
        <f>ROUNDUP(IF(Y105=0,0,Y105)*IF(Z105&gt;0,Z105,1)*IF(U105&gt;0,U105,1)*IF(W105&gt;0,W105,1),0)</f>
        <v/>
      </c>
      <c r="U105" s="245">
        <f>M105</f>
        <v/>
      </c>
      <c r="V105" s="243">
        <f>N105</f>
        <v/>
      </c>
      <c r="W105" s="245">
        <f>O105</f>
        <v/>
      </c>
      <c r="X105" s="243">
        <f>P105</f>
        <v/>
      </c>
      <c r="Y105" s="246">
        <f>Q105</f>
        <v/>
      </c>
      <c r="Z105" s="247">
        <f>R105</f>
        <v/>
      </c>
      <c r="AA105" s="243" t="n"/>
      <c r="AB105" s="254" t="n"/>
      <c r="AC105" s="254" t="n"/>
      <c r="AD105" s="254" t="n"/>
      <c r="AE105" s="254" t="n"/>
      <c r="AF105" s="254" t="n"/>
      <c r="AG105" s="255" t="n"/>
      <c r="AH105" s="256" t="n"/>
      <c r="AI105" s="253" t="n"/>
    </row>
    <row r="106" hidden="1" outlineLevel="1" s="592">
      <c r="A106" s="241">
        <f>$A95&amp;"."&amp;11</f>
        <v/>
      </c>
      <c r="B106" s="241" t="n"/>
      <c r="C106" s="255">
        <f>$C$95</f>
        <v/>
      </c>
      <c r="D106" s="243" t="n"/>
      <c r="E106" s="244">
        <f>ROUNDUP(IF(J106=0,0,J106)*IF(K106&gt;0,K106,1)*IF(F106&gt;0,F106,1)*IF(H106&gt;0,H106,1),0)</f>
        <v/>
      </c>
      <c r="F106" s="245" t="n"/>
      <c r="G106" s="243" t="n"/>
      <c r="H106" s="245" t="n"/>
      <c r="I106" s="243" t="n"/>
      <c r="J106" s="246" t="n"/>
      <c r="K106" s="247" t="n"/>
      <c r="L106" s="248">
        <f>ROUNDUP(IF(Q106=0,0,Q106)*IF(R106&gt;0,R106,1)*IF(M106&gt;0,M106,1)*IF(O106&gt;0,O106,1),0)</f>
        <v/>
      </c>
      <c r="M106" s="245">
        <f>F106</f>
        <v/>
      </c>
      <c r="N106" s="243">
        <f>G106</f>
        <v/>
      </c>
      <c r="O106" s="245">
        <f>H106</f>
        <v/>
      </c>
      <c r="P106" s="243">
        <f>I106</f>
        <v/>
      </c>
      <c r="Q106" s="246">
        <f>J106</f>
        <v/>
      </c>
      <c r="R106" s="247">
        <f>K106</f>
        <v/>
      </c>
      <c r="S106" s="243" t="n"/>
      <c r="T106" s="249">
        <f>ROUNDUP(IF(Y106=0,0,Y106)*IF(Z106&gt;0,Z106,1)*IF(U106&gt;0,U106,1)*IF(W106&gt;0,W106,1),0)</f>
        <v/>
      </c>
      <c r="U106" s="245">
        <f>M106</f>
        <v/>
      </c>
      <c r="V106" s="243">
        <f>N106</f>
        <v/>
      </c>
      <c r="W106" s="245">
        <f>O106</f>
        <v/>
      </c>
      <c r="X106" s="243">
        <f>P106</f>
        <v/>
      </c>
      <c r="Y106" s="246">
        <f>Q106</f>
        <v/>
      </c>
      <c r="Z106" s="247">
        <f>R106</f>
        <v/>
      </c>
      <c r="AA106" s="243" t="n"/>
      <c r="AB106" s="254" t="n"/>
      <c r="AC106" s="254" t="n"/>
      <c r="AD106" s="254" t="n"/>
      <c r="AE106" s="254" t="n"/>
      <c r="AF106" s="254" t="n"/>
      <c r="AG106" s="255" t="n"/>
      <c r="AH106" s="256" t="n"/>
      <c r="AI106" s="253" t="n"/>
    </row>
    <row r="107" hidden="1" outlineLevel="1" s="592">
      <c r="A107" s="241">
        <f>$A95&amp;"."&amp;12</f>
        <v/>
      </c>
      <c r="B107" s="241" t="n"/>
      <c r="C107" s="255">
        <f>$C$95</f>
        <v/>
      </c>
      <c r="D107" s="243" t="n"/>
      <c r="E107" s="244">
        <f>ROUNDUP(IF(J107=0,0,J107)*IF(K107&gt;0,K107,1)*IF(F107&gt;0,F107,1)*IF(H107&gt;0,H107,1),0)</f>
        <v/>
      </c>
      <c r="F107" s="245" t="n"/>
      <c r="G107" s="243" t="n"/>
      <c r="H107" s="245" t="n"/>
      <c r="I107" s="243" t="n"/>
      <c r="J107" s="246" t="n"/>
      <c r="K107" s="247" t="n"/>
      <c r="L107" s="248">
        <f>ROUNDUP(IF(Q107=0,0,Q107)*IF(R107&gt;0,R107,1)*IF(M107&gt;0,M107,1)*IF(O107&gt;0,O107,1),0)</f>
        <v/>
      </c>
      <c r="M107" s="245">
        <f>F107</f>
        <v/>
      </c>
      <c r="N107" s="243">
        <f>G107</f>
        <v/>
      </c>
      <c r="O107" s="245">
        <f>H107</f>
        <v/>
      </c>
      <c r="P107" s="243">
        <f>I107</f>
        <v/>
      </c>
      <c r="Q107" s="246">
        <f>J107</f>
        <v/>
      </c>
      <c r="R107" s="247">
        <f>K107</f>
        <v/>
      </c>
      <c r="S107" s="243" t="n"/>
      <c r="T107" s="249">
        <f>ROUNDUP(IF(Y107=0,0,Y107)*IF(Z107&gt;0,Z107,1)*IF(U107&gt;0,U107,1)*IF(W107&gt;0,W107,1),0)</f>
        <v/>
      </c>
      <c r="U107" s="245">
        <f>M107</f>
        <v/>
      </c>
      <c r="V107" s="243">
        <f>N107</f>
        <v/>
      </c>
      <c r="W107" s="245">
        <f>O107</f>
        <v/>
      </c>
      <c r="X107" s="243">
        <f>P107</f>
        <v/>
      </c>
      <c r="Y107" s="246">
        <f>Q107</f>
        <v/>
      </c>
      <c r="Z107" s="247">
        <f>R107</f>
        <v/>
      </c>
      <c r="AA107" s="243" t="n"/>
      <c r="AB107" s="254" t="n"/>
      <c r="AC107" s="254" t="n"/>
      <c r="AD107" s="254" t="n"/>
      <c r="AE107" s="254" t="n"/>
      <c r="AF107" s="254" t="n"/>
      <c r="AG107" s="255" t="n"/>
      <c r="AH107" s="256" t="n"/>
      <c r="AI107" s="253" t="n"/>
    </row>
    <row r="108" hidden="1" outlineLevel="1" s="592">
      <c r="A108" s="241">
        <f>$A95&amp;"."&amp;13</f>
        <v/>
      </c>
      <c r="B108" s="241" t="n"/>
      <c r="C108" s="255">
        <f>$C$95</f>
        <v/>
      </c>
      <c r="D108" s="243" t="n"/>
      <c r="E108" s="244">
        <f>ROUNDUP(IF(J108=0,0,J108)*IF(K108&gt;0,K108,1)*IF(F108&gt;0,F108,1)*IF(H108&gt;0,H108,1),0)</f>
        <v/>
      </c>
      <c r="F108" s="245" t="n"/>
      <c r="G108" s="243" t="n"/>
      <c r="H108" s="245" t="n"/>
      <c r="I108" s="243" t="n"/>
      <c r="J108" s="246" t="n"/>
      <c r="K108" s="247" t="n"/>
      <c r="L108" s="248">
        <f>ROUNDUP(IF(Q108=0,0,Q108)*IF(R108&gt;0,R108,1)*IF(M108&gt;0,M108,1)*IF(O108&gt;0,O108,1),0)</f>
        <v/>
      </c>
      <c r="M108" s="245">
        <f>F108</f>
        <v/>
      </c>
      <c r="N108" s="243">
        <f>G108</f>
        <v/>
      </c>
      <c r="O108" s="245">
        <f>H108</f>
        <v/>
      </c>
      <c r="P108" s="243">
        <f>I108</f>
        <v/>
      </c>
      <c r="Q108" s="246">
        <f>J108</f>
        <v/>
      </c>
      <c r="R108" s="247">
        <f>K108</f>
        <v/>
      </c>
      <c r="S108" s="243" t="n"/>
      <c r="T108" s="249">
        <f>ROUNDUP(IF(Y108=0,0,Y108)*IF(Z108&gt;0,Z108,1)*IF(U108&gt;0,U108,1)*IF(W108&gt;0,W108,1),0)</f>
        <v/>
      </c>
      <c r="U108" s="245">
        <f>M108</f>
        <v/>
      </c>
      <c r="V108" s="243">
        <f>N108</f>
        <v/>
      </c>
      <c r="W108" s="245">
        <f>O108</f>
        <v/>
      </c>
      <c r="X108" s="243">
        <f>P108</f>
        <v/>
      </c>
      <c r="Y108" s="246">
        <f>Q108</f>
        <v/>
      </c>
      <c r="Z108" s="247">
        <f>R108</f>
        <v/>
      </c>
      <c r="AA108" s="243" t="n"/>
      <c r="AB108" s="254" t="n"/>
      <c r="AC108" s="254" t="n"/>
      <c r="AD108" s="254" t="n"/>
      <c r="AE108" s="254" t="n"/>
      <c r="AF108" s="254" t="n"/>
      <c r="AG108" s="255" t="n"/>
      <c r="AH108" s="256" t="n"/>
      <c r="AI108" s="253" t="n"/>
    </row>
    <row r="109" hidden="1" outlineLevel="1" s="592">
      <c r="A109" s="241">
        <f>$A95&amp;"."&amp;14</f>
        <v/>
      </c>
      <c r="B109" s="241" t="n"/>
      <c r="C109" s="255">
        <f>$C$95</f>
        <v/>
      </c>
      <c r="D109" s="243" t="n"/>
      <c r="E109" s="244">
        <f>ROUNDUP(IF(J109=0,0,J109)*IF(K109&gt;0,K109,1)*IF(F109&gt;0,F109,1)*IF(H109&gt;0,H109,1),0)</f>
        <v/>
      </c>
      <c r="F109" s="245" t="n"/>
      <c r="G109" s="243" t="n"/>
      <c r="H109" s="245" t="n"/>
      <c r="I109" s="243" t="n"/>
      <c r="J109" s="246" t="n"/>
      <c r="K109" s="247" t="n"/>
      <c r="L109" s="248">
        <f>ROUNDUP(IF(Q109=0,0,Q109)*IF(R109&gt;0,R109,1)*IF(M109&gt;0,M109,1)*IF(O109&gt;0,O109,1),0)</f>
        <v/>
      </c>
      <c r="M109" s="245">
        <f>F109</f>
        <v/>
      </c>
      <c r="N109" s="243">
        <f>G109</f>
        <v/>
      </c>
      <c r="O109" s="245">
        <f>H109</f>
        <v/>
      </c>
      <c r="P109" s="243">
        <f>I109</f>
        <v/>
      </c>
      <c r="Q109" s="246">
        <f>J109</f>
        <v/>
      </c>
      <c r="R109" s="247">
        <f>K109</f>
        <v/>
      </c>
      <c r="S109" s="243" t="n"/>
      <c r="T109" s="249">
        <f>ROUNDUP(IF(Y109=0,0,Y109)*IF(Z109&gt;0,Z109,1)*IF(U109&gt;0,U109,1)*IF(W109&gt;0,W109,1),0)</f>
        <v/>
      </c>
      <c r="U109" s="245">
        <f>M109</f>
        <v/>
      </c>
      <c r="V109" s="243">
        <f>N109</f>
        <v/>
      </c>
      <c r="W109" s="245">
        <f>O109</f>
        <v/>
      </c>
      <c r="X109" s="243">
        <f>P109</f>
        <v/>
      </c>
      <c r="Y109" s="246">
        <f>Q109</f>
        <v/>
      </c>
      <c r="Z109" s="247">
        <f>R109</f>
        <v/>
      </c>
      <c r="AA109" s="243" t="n"/>
      <c r="AB109" s="254" t="n"/>
      <c r="AC109" s="254" t="n"/>
      <c r="AD109" s="254" t="n"/>
      <c r="AE109" s="254" t="n"/>
      <c r="AF109" s="254" t="n"/>
      <c r="AG109" s="255" t="n"/>
      <c r="AH109" s="256" t="n"/>
      <c r="AI109" s="253" t="n"/>
    </row>
    <row r="110" hidden="1" outlineLevel="1" s="592">
      <c r="A110" s="241">
        <f>$A95&amp;"."&amp;15</f>
        <v/>
      </c>
      <c r="B110" s="241" t="n"/>
      <c r="C110" s="255">
        <f>$C$95</f>
        <v/>
      </c>
      <c r="D110" s="243" t="n"/>
      <c r="E110" s="244">
        <f>ROUNDUP(IF(J110=0,0,J110)*IF(K110&gt;0,K110,1)*IF(F110&gt;0,F110,1)*IF(H110&gt;0,H110,1),0)</f>
        <v/>
      </c>
      <c r="F110" s="245" t="n"/>
      <c r="G110" s="243" t="n"/>
      <c r="H110" s="245" t="n"/>
      <c r="I110" s="243" t="n"/>
      <c r="J110" s="246" t="n"/>
      <c r="K110" s="247" t="n"/>
      <c r="L110" s="248">
        <f>ROUNDUP(IF(Q110=0,0,Q110)*IF(R110&gt;0,R110,1)*IF(M110&gt;0,M110,1)*IF(O110&gt;0,O110,1),0)</f>
        <v/>
      </c>
      <c r="M110" s="245">
        <f>F110</f>
        <v/>
      </c>
      <c r="N110" s="243">
        <f>G110</f>
        <v/>
      </c>
      <c r="O110" s="245">
        <f>H110</f>
        <v/>
      </c>
      <c r="P110" s="243">
        <f>I110</f>
        <v/>
      </c>
      <c r="Q110" s="246">
        <f>J110</f>
        <v/>
      </c>
      <c r="R110" s="247">
        <f>K110</f>
        <v/>
      </c>
      <c r="S110" s="243" t="n"/>
      <c r="T110" s="249">
        <f>ROUNDUP(IF(Y110=0,0,Y110)*IF(Z110&gt;0,Z110,1)*IF(U110&gt;0,U110,1)*IF(W110&gt;0,W110,1),0)</f>
        <v/>
      </c>
      <c r="U110" s="245">
        <f>M110</f>
        <v/>
      </c>
      <c r="V110" s="243">
        <f>N110</f>
        <v/>
      </c>
      <c r="W110" s="245">
        <f>O110</f>
        <v/>
      </c>
      <c r="X110" s="243">
        <f>P110</f>
        <v/>
      </c>
      <c r="Y110" s="246">
        <f>Q110</f>
        <v/>
      </c>
      <c r="Z110" s="247">
        <f>R110</f>
        <v/>
      </c>
      <c r="AA110" s="243" t="n"/>
      <c r="AB110" s="254" t="n"/>
      <c r="AC110" s="254" t="n"/>
      <c r="AD110" s="254" t="n"/>
      <c r="AE110" s="254" t="n"/>
      <c r="AF110" s="254" t="n"/>
      <c r="AG110" s="255" t="n"/>
      <c r="AH110" s="256" t="n"/>
      <c r="AI110" s="253" t="n"/>
    </row>
    <row r="111" hidden="1" outlineLevel="1" s="592">
      <c r="A111" s="241">
        <f>$A95&amp;"."&amp;16</f>
        <v/>
      </c>
      <c r="B111" s="241" t="n"/>
      <c r="C111" s="255">
        <f>$C$95</f>
        <v/>
      </c>
      <c r="D111" s="243" t="n"/>
      <c r="E111" s="244">
        <f>ROUNDUP(IF(J111=0,0,J111)*IF(K111&gt;0,K111,1)*IF(F111&gt;0,F111,1)*IF(H111&gt;0,H111,1),0)</f>
        <v/>
      </c>
      <c r="F111" s="245" t="n"/>
      <c r="G111" s="243" t="n"/>
      <c r="H111" s="245" t="n"/>
      <c r="I111" s="243" t="n"/>
      <c r="J111" s="246" t="n"/>
      <c r="K111" s="247" t="n"/>
      <c r="L111" s="248">
        <f>ROUNDUP(IF(Q111=0,0,Q111)*IF(R111&gt;0,R111,1)*IF(M111&gt;0,M111,1)*IF(O111&gt;0,O111,1),0)</f>
        <v/>
      </c>
      <c r="M111" s="245">
        <f>F111</f>
        <v/>
      </c>
      <c r="N111" s="243">
        <f>G111</f>
        <v/>
      </c>
      <c r="O111" s="245">
        <f>H111</f>
        <v/>
      </c>
      <c r="P111" s="243">
        <f>I111</f>
        <v/>
      </c>
      <c r="Q111" s="246">
        <f>J111</f>
        <v/>
      </c>
      <c r="R111" s="247">
        <f>K111</f>
        <v/>
      </c>
      <c r="S111" s="243" t="n"/>
      <c r="T111" s="249">
        <f>ROUNDUP(IF(Y111=0,0,Y111)*IF(Z111&gt;0,Z111,1)*IF(U111&gt;0,U111,1)*IF(W111&gt;0,W111,1),0)</f>
        <v/>
      </c>
      <c r="U111" s="245">
        <f>M111</f>
        <v/>
      </c>
      <c r="V111" s="243">
        <f>N111</f>
        <v/>
      </c>
      <c r="W111" s="245">
        <f>O111</f>
        <v/>
      </c>
      <c r="X111" s="243">
        <f>P111</f>
        <v/>
      </c>
      <c r="Y111" s="246">
        <f>Q111</f>
        <v/>
      </c>
      <c r="Z111" s="247">
        <f>R111</f>
        <v/>
      </c>
      <c r="AA111" s="243" t="n"/>
      <c r="AB111" s="254" t="n"/>
      <c r="AC111" s="254" t="n"/>
      <c r="AD111" s="254" t="n"/>
      <c r="AE111" s="254" t="n"/>
      <c r="AF111" s="254" t="n"/>
      <c r="AG111" s="255" t="n"/>
      <c r="AH111" s="256" t="n"/>
      <c r="AI111" s="253" t="n"/>
    </row>
    <row r="112" hidden="1" outlineLevel="1" s="592">
      <c r="A112" s="241">
        <f>$A95&amp;"."&amp;17</f>
        <v/>
      </c>
      <c r="B112" s="241" t="n"/>
      <c r="C112" s="255">
        <f>$C$95</f>
        <v/>
      </c>
      <c r="D112" s="243" t="n"/>
      <c r="E112" s="244">
        <f>ROUNDUP(IF(J112=0,0,J112)*IF(K112&gt;0,K112,1)*IF(F112&gt;0,F112,1)*IF(H112&gt;0,H112,1),0)</f>
        <v/>
      </c>
      <c r="F112" s="245" t="n"/>
      <c r="G112" s="243" t="n"/>
      <c r="H112" s="245" t="n"/>
      <c r="I112" s="243" t="n"/>
      <c r="J112" s="246" t="n"/>
      <c r="K112" s="247" t="n"/>
      <c r="L112" s="248">
        <f>ROUNDUP(IF(Q112=0,0,Q112)*IF(R112&gt;0,R112,1)*IF(M112&gt;0,M112,1)*IF(O112&gt;0,O112,1),0)</f>
        <v/>
      </c>
      <c r="M112" s="245">
        <f>F112</f>
        <v/>
      </c>
      <c r="N112" s="243">
        <f>G112</f>
        <v/>
      </c>
      <c r="O112" s="245">
        <f>H112</f>
        <v/>
      </c>
      <c r="P112" s="243">
        <f>I112</f>
        <v/>
      </c>
      <c r="Q112" s="246">
        <f>J112</f>
        <v/>
      </c>
      <c r="R112" s="247">
        <f>K112</f>
        <v/>
      </c>
      <c r="S112" s="243" t="n"/>
      <c r="T112" s="249">
        <f>ROUNDUP(IF(Y112=0,0,Y112)*IF(Z112&gt;0,Z112,1)*IF(U112&gt;0,U112,1)*IF(W112&gt;0,W112,1),0)</f>
        <v/>
      </c>
      <c r="U112" s="245">
        <f>M112</f>
        <v/>
      </c>
      <c r="V112" s="243">
        <f>N112</f>
        <v/>
      </c>
      <c r="W112" s="245">
        <f>O112</f>
        <v/>
      </c>
      <c r="X112" s="243">
        <f>P112</f>
        <v/>
      </c>
      <c r="Y112" s="246">
        <f>Q112</f>
        <v/>
      </c>
      <c r="Z112" s="247">
        <f>R112</f>
        <v/>
      </c>
      <c r="AA112" s="243" t="n"/>
      <c r="AB112" s="254" t="n"/>
      <c r="AC112" s="254" t="n"/>
      <c r="AD112" s="254" t="n"/>
      <c r="AE112" s="254" t="n"/>
      <c r="AF112" s="254" t="n"/>
      <c r="AG112" s="255" t="n"/>
      <c r="AH112" s="256" t="n"/>
      <c r="AI112" s="253" t="n"/>
    </row>
    <row r="113" hidden="1" outlineLevel="1" s="592">
      <c r="A113" s="241">
        <f>$A95&amp;"."&amp;18</f>
        <v/>
      </c>
      <c r="B113" s="241" t="n"/>
      <c r="C113" s="255">
        <f>$C$95</f>
        <v/>
      </c>
      <c r="D113" s="243" t="n"/>
      <c r="E113" s="244">
        <f>ROUNDUP(IF(J113=0,0,J113)*IF(K113&gt;0,K113,1)*IF(F113&gt;0,F113,1)*IF(H113&gt;0,H113,1),0)</f>
        <v/>
      </c>
      <c r="F113" s="245" t="n"/>
      <c r="G113" s="243" t="n"/>
      <c r="H113" s="245" t="n"/>
      <c r="I113" s="243" t="n"/>
      <c r="J113" s="246" t="n"/>
      <c r="K113" s="247" t="n"/>
      <c r="L113" s="248">
        <f>ROUNDUP(IF(Q113=0,0,Q113)*IF(R113&gt;0,R113,1)*IF(M113&gt;0,M113,1)*IF(O113&gt;0,O113,1),0)</f>
        <v/>
      </c>
      <c r="M113" s="245">
        <f>F113</f>
        <v/>
      </c>
      <c r="N113" s="243">
        <f>G113</f>
        <v/>
      </c>
      <c r="O113" s="245">
        <f>H113</f>
        <v/>
      </c>
      <c r="P113" s="243">
        <f>I113</f>
        <v/>
      </c>
      <c r="Q113" s="246">
        <f>J113</f>
        <v/>
      </c>
      <c r="R113" s="247">
        <f>K113</f>
        <v/>
      </c>
      <c r="S113" s="243" t="n"/>
      <c r="T113" s="249">
        <f>ROUNDUP(IF(Y113=0,0,Y113)*IF(Z113&gt;0,Z113,1)*IF(U113&gt;0,U113,1)*IF(W113&gt;0,W113,1),0)</f>
        <v/>
      </c>
      <c r="U113" s="245">
        <f>M113</f>
        <v/>
      </c>
      <c r="V113" s="243">
        <f>N113</f>
        <v/>
      </c>
      <c r="W113" s="245">
        <f>O113</f>
        <v/>
      </c>
      <c r="X113" s="243">
        <f>P113</f>
        <v/>
      </c>
      <c r="Y113" s="246">
        <f>Q113</f>
        <v/>
      </c>
      <c r="Z113" s="247">
        <f>R113</f>
        <v/>
      </c>
      <c r="AA113" s="243" t="n"/>
      <c r="AB113" s="254" t="n"/>
      <c r="AC113" s="254" t="n"/>
      <c r="AD113" s="254" t="n"/>
      <c r="AE113" s="254" t="n"/>
      <c r="AF113" s="254" t="n"/>
      <c r="AG113" s="255" t="n"/>
      <c r="AH113" s="256" t="n"/>
      <c r="AI113" s="253" t="n"/>
    </row>
    <row r="114" hidden="1" outlineLevel="1" s="592">
      <c r="A114" s="241">
        <f>$A95&amp;"."&amp;19</f>
        <v/>
      </c>
      <c r="B114" s="241" t="n"/>
      <c r="C114" s="255">
        <f>$C$95</f>
        <v/>
      </c>
      <c r="D114" s="243" t="n"/>
      <c r="E114" s="244">
        <f>ROUNDUP(IF(J114=0,0,J114)*IF(K114&gt;0,K114,1)*IF(F114&gt;0,F114,1)*IF(H114&gt;0,H114,1),0)</f>
        <v/>
      </c>
      <c r="F114" s="245" t="n"/>
      <c r="G114" s="243" t="n"/>
      <c r="H114" s="245" t="n"/>
      <c r="I114" s="243" t="n"/>
      <c r="J114" s="246" t="n"/>
      <c r="K114" s="247" t="n"/>
      <c r="L114" s="248">
        <f>ROUNDUP(IF(Q114=0,0,Q114)*IF(R114&gt;0,R114,1)*IF(M114&gt;0,M114,1)*IF(O114&gt;0,O114,1),0)</f>
        <v/>
      </c>
      <c r="M114" s="245">
        <f>F114</f>
        <v/>
      </c>
      <c r="N114" s="243">
        <f>G114</f>
        <v/>
      </c>
      <c r="O114" s="245">
        <f>H114</f>
        <v/>
      </c>
      <c r="P114" s="243">
        <f>I114</f>
        <v/>
      </c>
      <c r="Q114" s="246">
        <f>J114</f>
        <v/>
      </c>
      <c r="R114" s="247">
        <f>K114</f>
        <v/>
      </c>
      <c r="S114" s="243" t="n"/>
      <c r="T114" s="249">
        <f>ROUNDUP(IF(Y114=0,0,Y114)*IF(Z114&gt;0,Z114,1)*IF(U114&gt;0,U114,1)*IF(W114&gt;0,W114,1),0)</f>
        <v/>
      </c>
      <c r="U114" s="245">
        <f>M114</f>
        <v/>
      </c>
      <c r="V114" s="243">
        <f>N114</f>
        <v/>
      </c>
      <c r="W114" s="245">
        <f>O114</f>
        <v/>
      </c>
      <c r="X114" s="243">
        <f>P114</f>
        <v/>
      </c>
      <c r="Y114" s="246">
        <f>Q114</f>
        <v/>
      </c>
      <c r="Z114" s="247">
        <f>R114</f>
        <v/>
      </c>
      <c r="AA114" s="243" t="n"/>
      <c r="AB114" s="254" t="n"/>
      <c r="AC114" s="254" t="n"/>
      <c r="AD114" s="254" t="n"/>
      <c r="AE114" s="254" t="n"/>
      <c r="AF114" s="254" t="n"/>
      <c r="AG114" s="255" t="n"/>
      <c r="AH114" s="256" t="n"/>
      <c r="AI114" s="253" t="n"/>
    </row>
    <row r="115" hidden="1" outlineLevel="1" s="592">
      <c r="A115" s="241">
        <f>$A95&amp;"."&amp;20</f>
        <v/>
      </c>
      <c r="B115" s="241" t="n"/>
      <c r="C115" s="255">
        <f>$C$95</f>
        <v/>
      </c>
      <c r="D115" s="243" t="n"/>
      <c r="E115" s="244">
        <f>ROUNDUP(IF(J115=0,0,J115)*IF(K115&gt;0,K115,1)*IF(F115&gt;0,F115,1)*IF(H115&gt;0,H115,1),0)</f>
        <v/>
      </c>
      <c r="F115" s="245" t="n"/>
      <c r="G115" s="243" t="n"/>
      <c r="H115" s="245" t="n"/>
      <c r="I115" s="243" t="n"/>
      <c r="J115" s="246" t="n"/>
      <c r="K115" s="247" t="n"/>
      <c r="L115" s="248">
        <f>ROUNDUP(IF(Q115=0,0,Q115)*IF(R115&gt;0,R115,1)*IF(M115&gt;0,M115,1)*IF(O115&gt;0,O115,1),0)</f>
        <v/>
      </c>
      <c r="M115" s="245">
        <f>F115</f>
        <v/>
      </c>
      <c r="N115" s="243">
        <f>G115</f>
        <v/>
      </c>
      <c r="O115" s="245">
        <f>H115</f>
        <v/>
      </c>
      <c r="P115" s="243">
        <f>I115</f>
        <v/>
      </c>
      <c r="Q115" s="246">
        <f>J115</f>
        <v/>
      </c>
      <c r="R115" s="247">
        <f>K115</f>
        <v/>
      </c>
      <c r="S115" s="243" t="n"/>
      <c r="T115" s="249">
        <f>ROUNDUP(IF(Y115=0,0,Y115)*IF(Z115&gt;0,Z115,1)*IF(U115&gt;0,U115,1)*IF(W115&gt;0,W115,1),0)</f>
        <v/>
      </c>
      <c r="U115" s="245">
        <f>M115</f>
        <v/>
      </c>
      <c r="V115" s="243">
        <f>N115</f>
        <v/>
      </c>
      <c r="W115" s="245">
        <f>O115</f>
        <v/>
      </c>
      <c r="X115" s="243">
        <f>P115</f>
        <v/>
      </c>
      <c r="Y115" s="246">
        <f>Q115</f>
        <v/>
      </c>
      <c r="Z115" s="247">
        <f>R115</f>
        <v/>
      </c>
      <c r="AA115" s="243" t="n"/>
      <c r="AB115" s="254" t="n"/>
      <c r="AC115" s="254" t="n"/>
      <c r="AD115" s="254" t="n"/>
      <c r="AE115" s="254" t="n"/>
      <c r="AF115" s="254" t="n"/>
      <c r="AG115" s="255" t="n"/>
      <c r="AH115" s="256" t="n"/>
      <c r="AI115" s="253" t="n"/>
    </row>
    <row r="116" collapsed="1" s="592">
      <c r="A116" s="257" t="n">
        <v>6</v>
      </c>
      <c r="B116" s="257">
        <f>IFERROR(__xludf.DUMMYFUNCTION("vlookup(C116,IMPORTRANGE(REF!$B$3,""FP!B:C""),2,0)"),"#N/A")</f>
        <v/>
      </c>
      <c r="C116" s="237" t="inlineStr">
        <is>
          <t>ชื่อกิจกรรมที่ 6</t>
        </is>
      </c>
      <c r="D116" s="232" t="n"/>
      <c r="E116" s="233">
        <f>SUM(E117:E136)</f>
        <v/>
      </c>
      <c r="F116" s="234" t="n"/>
      <c r="G116" s="235" t="n"/>
      <c r="H116" s="234" t="n"/>
      <c r="I116" s="235" t="n"/>
      <c r="J116" s="233" t="n"/>
      <c r="K116" s="236" t="n"/>
      <c r="L116" s="233">
        <f>SUM(L117:L136)</f>
        <v/>
      </c>
      <c r="M116" s="234" t="n"/>
      <c r="N116" s="235" t="n"/>
      <c r="O116" s="234" t="n"/>
      <c r="P116" s="235" t="n"/>
      <c r="Q116" s="233" t="n"/>
      <c r="R116" s="236" t="n"/>
      <c r="S116" s="235" t="n"/>
      <c r="T116" s="233">
        <f>SUM(T117:T136)</f>
        <v/>
      </c>
      <c r="U116" s="234" t="n"/>
      <c r="V116" s="235" t="n"/>
      <c r="W116" s="234" t="n"/>
      <c r="X116" s="235" t="n"/>
      <c r="Y116" s="233" t="n"/>
      <c r="Z116" s="236" t="n"/>
      <c r="AA116" s="235" t="n"/>
      <c r="AB116" s="237" t="n"/>
      <c r="AC116" s="237" t="n"/>
      <c r="AD116" s="237" t="n"/>
      <c r="AE116" s="237" t="n"/>
      <c r="AF116" s="237" t="n"/>
      <c r="AG116" s="238" t="b">
        <v>0</v>
      </c>
      <c r="AH116" s="239" t="n"/>
      <c r="AI116" s="253" t="n"/>
    </row>
    <row r="117" hidden="1" outlineLevel="1" s="592">
      <c r="A117" s="241">
        <f>$A116&amp;"."&amp;1</f>
        <v/>
      </c>
      <c r="B117" s="241" t="n"/>
      <c r="C117" s="255">
        <f>$C$116</f>
        <v/>
      </c>
      <c r="D117" s="243" t="n"/>
      <c r="E117" s="244">
        <f>ROUNDUP(IF(J117=0,0,J117)*IF(K117&gt;0,K117,1)*IF(F117&gt;0,F117,1)*IF(H117&gt;0,H117,1),0)</f>
        <v/>
      </c>
      <c r="F117" s="245" t="n"/>
      <c r="G117" s="243" t="n"/>
      <c r="H117" s="245" t="n"/>
      <c r="I117" s="243" t="n"/>
      <c r="J117" s="246" t="n"/>
      <c r="K117" s="247" t="n"/>
      <c r="L117" s="248">
        <f>ROUNDUP(IF(Q117=0,0,Q117)*IF(R117&gt;0,R117,1)*IF(M117&gt;0,M117,1)*IF(O117&gt;0,O117,1),0)</f>
        <v/>
      </c>
      <c r="M117" s="245">
        <f>F117</f>
        <v/>
      </c>
      <c r="N117" s="243">
        <f>G117</f>
        <v/>
      </c>
      <c r="O117" s="245">
        <f>H117</f>
        <v/>
      </c>
      <c r="P117" s="243">
        <f>I117</f>
        <v/>
      </c>
      <c r="Q117" s="246">
        <f>J117</f>
        <v/>
      </c>
      <c r="R117" s="247">
        <f>K117</f>
        <v/>
      </c>
      <c r="S117" s="243" t="n"/>
      <c r="T117" s="249">
        <f>ROUNDUP(IF(Y117=0,0,Y117)*IF(Z117&gt;0,Z117,1)*IF(U117&gt;0,U117,1)*IF(W117&gt;0,W117,1),0)</f>
        <v/>
      </c>
      <c r="U117" s="245">
        <f>M117</f>
        <v/>
      </c>
      <c r="V117" s="243">
        <f>N117</f>
        <v/>
      </c>
      <c r="W117" s="245">
        <f>O117</f>
        <v/>
      </c>
      <c r="X117" s="243">
        <f>P117</f>
        <v/>
      </c>
      <c r="Y117" s="246">
        <f>Q117</f>
        <v/>
      </c>
      <c r="Z117" s="247">
        <f>R117</f>
        <v/>
      </c>
      <c r="AA117" s="243" t="n"/>
      <c r="AB117" s="254" t="n"/>
      <c r="AC117" s="254" t="n"/>
      <c r="AD117" s="254" t="n"/>
      <c r="AE117" s="254" t="n"/>
      <c r="AF117" s="254" t="n"/>
      <c r="AG117" s="255" t="n"/>
      <c r="AH117" s="256" t="n"/>
      <c r="AI117" s="253" t="n"/>
    </row>
    <row r="118" hidden="1" outlineLevel="1" s="592">
      <c r="A118" s="241">
        <f>$A116&amp;"."&amp;2</f>
        <v/>
      </c>
      <c r="B118" s="241" t="n"/>
      <c r="C118" s="255">
        <f>$C$116</f>
        <v/>
      </c>
      <c r="D118" s="243" t="n"/>
      <c r="E118" s="244">
        <f>ROUNDUP(IF(J118=0,0,J118)*IF(K118&gt;0,K118,1)*IF(F118&gt;0,F118,1)*IF(H118&gt;0,H118,1),0)</f>
        <v/>
      </c>
      <c r="F118" s="245" t="n"/>
      <c r="G118" s="243" t="n"/>
      <c r="H118" s="245" t="n"/>
      <c r="I118" s="243" t="n"/>
      <c r="J118" s="246" t="n"/>
      <c r="K118" s="247" t="n"/>
      <c r="L118" s="248">
        <f>ROUNDUP(IF(Q118=0,0,Q118)*IF(R118&gt;0,R118,1)*IF(M118&gt;0,M118,1)*IF(O118&gt;0,O118,1),0)</f>
        <v/>
      </c>
      <c r="M118" s="245">
        <f>F118</f>
        <v/>
      </c>
      <c r="N118" s="243">
        <f>G118</f>
        <v/>
      </c>
      <c r="O118" s="245">
        <f>H118</f>
        <v/>
      </c>
      <c r="P118" s="243">
        <f>I118</f>
        <v/>
      </c>
      <c r="Q118" s="246">
        <f>J118</f>
        <v/>
      </c>
      <c r="R118" s="247">
        <f>K118</f>
        <v/>
      </c>
      <c r="S118" s="243" t="n"/>
      <c r="T118" s="249">
        <f>ROUNDUP(IF(Y118=0,0,Y118)*IF(Z118&gt;0,Z118,1)*IF(U118&gt;0,U118,1)*IF(W118&gt;0,W118,1),0)</f>
        <v/>
      </c>
      <c r="U118" s="245">
        <f>M118</f>
        <v/>
      </c>
      <c r="V118" s="243">
        <f>N118</f>
        <v/>
      </c>
      <c r="W118" s="245">
        <f>O118</f>
        <v/>
      </c>
      <c r="X118" s="243">
        <f>P118</f>
        <v/>
      </c>
      <c r="Y118" s="246">
        <f>Q118</f>
        <v/>
      </c>
      <c r="Z118" s="247">
        <f>R118</f>
        <v/>
      </c>
      <c r="AA118" s="243" t="n"/>
      <c r="AB118" s="254" t="n"/>
      <c r="AC118" s="254" t="n"/>
      <c r="AD118" s="254" t="n"/>
      <c r="AE118" s="254" t="n"/>
      <c r="AF118" s="254" t="n"/>
      <c r="AG118" s="255" t="n"/>
      <c r="AH118" s="256" t="n"/>
      <c r="AI118" s="253" t="n"/>
    </row>
    <row r="119" hidden="1" outlineLevel="1" s="592">
      <c r="A119" s="241">
        <f>$A116&amp;"."&amp;3</f>
        <v/>
      </c>
      <c r="B119" s="241" t="n"/>
      <c r="C119" s="255">
        <f>$C$116</f>
        <v/>
      </c>
      <c r="D119" s="243" t="n"/>
      <c r="E119" s="244">
        <f>ROUNDUP(IF(J119=0,0,J119)*IF(K119&gt;0,K119,1)*IF(F119&gt;0,F119,1)*IF(H119&gt;0,H119,1),0)</f>
        <v/>
      </c>
      <c r="F119" s="245" t="n"/>
      <c r="G119" s="243" t="n"/>
      <c r="H119" s="245" t="n"/>
      <c r="I119" s="243" t="n"/>
      <c r="J119" s="246" t="n"/>
      <c r="K119" s="247" t="n"/>
      <c r="L119" s="248">
        <f>ROUNDUP(IF(Q119=0,0,Q119)*IF(R119&gt;0,R119,1)*IF(M119&gt;0,M119,1)*IF(O119&gt;0,O119,1),0)</f>
        <v/>
      </c>
      <c r="M119" s="245">
        <f>F119</f>
        <v/>
      </c>
      <c r="N119" s="243">
        <f>G119</f>
        <v/>
      </c>
      <c r="O119" s="245">
        <f>H119</f>
        <v/>
      </c>
      <c r="P119" s="243">
        <f>I119</f>
        <v/>
      </c>
      <c r="Q119" s="246">
        <f>J119</f>
        <v/>
      </c>
      <c r="R119" s="247">
        <f>K119</f>
        <v/>
      </c>
      <c r="S119" s="243" t="n"/>
      <c r="T119" s="249">
        <f>ROUNDUP(IF(Y119=0,0,Y119)*IF(Z119&gt;0,Z119,1)*IF(U119&gt;0,U119,1)*IF(W119&gt;0,W119,1),0)</f>
        <v/>
      </c>
      <c r="U119" s="245">
        <f>M119</f>
        <v/>
      </c>
      <c r="V119" s="243">
        <f>N119</f>
        <v/>
      </c>
      <c r="W119" s="245">
        <f>O119</f>
        <v/>
      </c>
      <c r="X119" s="243">
        <f>P119</f>
        <v/>
      </c>
      <c r="Y119" s="246">
        <f>Q119</f>
        <v/>
      </c>
      <c r="Z119" s="247">
        <f>R119</f>
        <v/>
      </c>
      <c r="AA119" s="243" t="n"/>
      <c r="AB119" s="254" t="n"/>
      <c r="AC119" s="254" t="n"/>
      <c r="AD119" s="254" t="n"/>
      <c r="AE119" s="254" t="n"/>
      <c r="AF119" s="254" t="n"/>
      <c r="AG119" s="255" t="n"/>
      <c r="AH119" s="256" t="n"/>
      <c r="AI119" s="253" t="n"/>
    </row>
    <row r="120" hidden="1" outlineLevel="1" s="592">
      <c r="A120" s="241">
        <f>$A116&amp;"."&amp;4</f>
        <v/>
      </c>
      <c r="B120" s="241" t="n"/>
      <c r="C120" s="255">
        <f>$C$116</f>
        <v/>
      </c>
      <c r="D120" s="243" t="n"/>
      <c r="E120" s="244">
        <f>ROUNDUP(IF(J120=0,0,J120)*IF(K120&gt;0,K120,1)*IF(F120&gt;0,F120,1)*IF(H120&gt;0,H120,1),0)</f>
        <v/>
      </c>
      <c r="F120" s="245" t="n"/>
      <c r="G120" s="243" t="n"/>
      <c r="H120" s="245" t="n"/>
      <c r="I120" s="243" t="n"/>
      <c r="J120" s="246" t="n"/>
      <c r="K120" s="247" t="n"/>
      <c r="L120" s="248">
        <f>ROUNDUP(IF(Q120=0,0,Q120)*IF(R120&gt;0,R120,1)*IF(M120&gt;0,M120,1)*IF(O120&gt;0,O120,1),0)</f>
        <v/>
      </c>
      <c r="M120" s="245">
        <f>F120</f>
        <v/>
      </c>
      <c r="N120" s="243">
        <f>G120</f>
        <v/>
      </c>
      <c r="O120" s="245">
        <f>H120</f>
        <v/>
      </c>
      <c r="P120" s="243">
        <f>I120</f>
        <v/>
      </c>
      <c r="Q120" s="246">
        <f>J120</f>
        <v/>
      </c>
      <c r="R120" s="247">
        <f>K120</f>
        <v/>
      </c>
      <c r="S120" s="243" t="n"/>
      <c r="T120" s="249">
        <f>ROUNDUP(IF(Y120=0,0,Y120)*IF(Z120&gt;0,Z120,1)*IF(U120&gt;0,U120,1)*IF(W120&gt;0,W120,1),0)</f>
        <v/>
      </c>
      <c r="U120" s="245">
        <f>M120</f>
        <v/>
      </c>
      <c r="V120" s="243">
        <f>N120</f>
        <v/>
      </c>
      <c r="W120" s="245">
        <f>O120</f>
        <v/>
      </c>
      <c r="X120" s="243">
        <f>P120</f>
        <v/>
      </c>
      <c r="Y120" s="246">
        <f>Q120</f>
        <v/>
      </c>
      <c r="Z120" s="247">
        <f>R120</f>
        <v/>
      </c>
      <c r="AA120" s="243" t="n"/>
      <c r="AB120" s="254" t="n"/>
      <c r="AC120" s="254" t="n"/>
      <c r="AD120" s="254" t="n"/>
      <c r="AE120" s="254" t="n"/>
      <c r="AF120" s="254" t="n"/>
      <c r="AG120" s="255" t="n"/>
      <c r="AH120" s="256" t="n"/>
      <c r="AI120" s="253" t="n"/>
    </row>
    <row r="121" hidden="1" outlineLevel="1" s="592">
      <c r="A121" s="241">
        <f>$A116&amp;"."&amp;5</f>
        <v/>
      </c>
      <c r="B121" s="241" t="n"/>
      <c r="C121" s="255">
        <f>$C$116</f>
        <v/>
      </c>
      <c r="D121" s="243" t="n"/>
      <c r="E121" s="244">
        <f>ROUNDUP(IF(J121=0,0,J121)*IF(K121&gt;0,K121,1)*IF(F121&gt;0,F121,1)*IF(H121&gt;0,H121,1),0)</f>
        <v/>
      </c>
      <c r="F121" s="245" t="n"/>
      <c r="G121" s="243" t="n"/>
      <c r="H121" s="245" t="n"/>
      <c r="I121" s="243" t="n"/>
      <c r="J121" s="246" t="n"/>
      <c r="K121" s="247" t="n"/>
      <c r="L121" s="248">
        <f>ROUNDUP(IF(Q121=0,0,Q121)*IF(R121&gt;0,R121,1)*IF(M121&gt;0,M121,1)*IF(O121&gt;0,O121,1),0)</f>
        <v/>
      </c>
      <c r="M121" s="245">
        <f>F121</f>
        <v/>
      </c>
      <c r="N121" s="243">
        <f>G121</f>
        <v/>
      </c>
      <c r="O121" s="245">
        <f>H121</f>
        <v/>
      </c>
      <c r="P121" s="243">
        <f>I121</f>
        <v/>
      </c>
      <c r="Q121" s="246">
        <f>J121</f>
        <v/>
      </c>
      <c r="R121" s="247">
        <f>K121</f>
        <v/>
      </c>
      <c r="S121" s="243" t="n"/>
      <c r="T121" s="249">
        <f>ROUNDUP(IF(Y121=0,0,Y121)*IF(Z121&gt;0,Z121,1)*IF(U121&gt;0,U121,1)*IF(W121&gt;0,W121,1),0)</f>
        <v/>
      </c>
      <c r="U121" s="245">
        <f>M121</f>
        <v/>
      </c>
      <c r="V121" s="243">
        <f>N121</f>
        <v/>
      </c>
      <c r="W121" s="245">
        <f>O121</f>
        <v/>
      </c>
      <c r="X121" s="243">
        <f>P121</f>
        <v/>
      </c>
      <c r="Y121" s="246">
        <f>Q121</f>
        <v/>
      </c>
      <c r="Z121" s="247">
        <f>R121</f>
        <v/>
      </c>
      <c r="AA121" s="243" t="n"/>
      <c r="AB121" s="254" t="n"/>
      <c r="AC121" s="254" t="n"/>
      <c r="AD121" s="254" t="n"/>
      <c r="AE121" s="254" t="n"/>
      <c r="AF121" s="254" t="n"/>
      <c r="AG121" s="255" t="n"/>
      <c r="AH121" s="256" t="n"/>
      <c r="AI121" s="253" t="n"/>
    </row>
    <row r="122" hidden="1" outlineLevel="1" s="592">
      <c r="A122" s="241">
        <f>$A116&amp;"."&amp;6</f>
        <v/>
      </c>
      <c r="B122" s="241" t="n"/>
      <c r="C122" s="255">
        <f>$C$116</f>
        <v/>
      </c>
      <c r="D122" s="243" t="n"/>
      <c r="E122" s="244">
        <f>ROUNDUP(IF(J122=0,0,J122)*IF(K122&gt;0,K122,1)*IF(F122&gt;0,F122,1)*IF(H122&gt;0,H122,1),0)</f>
        <v/>
      </c>
      <c r="F122" s="245" t="n"/>
      <c r="G122" s="243" t="n"/>
      <c r="H122" s="245" t="n"/>
      <c r="I122" s="243" t="n"/>
      <c r="J122" s="246" t="n"/>
      <c r="K122" s="247" t="n"/>
      <c r="L122" s="248">
        <f>ROUNDUP(IF(Q122=0,0,Q122)*IF(R122&gt;0,R122,1)*IF(M122&gt;0,M122,1)*IF(O122&gt;0,O122,1),0)</f>
        <v/>
      </c>
      <c r="M122" s="245">
        <f>F122</f>
        <v/>
      </c>
      <c r="N122" s="243">
        <f>G122</f>
        <v/>
      </c>
      <c r="O122" s="245">
        <f>H122</f>
        <v/>
      </c>
      <c r="P122" s="243">
        <f>I122</f>
        <v/>
      </c>
      <c r="Q122" s="246">
        <f>J122</f>
        <v/>
      </c>
      <c r="R122" s="247">
        <f>K122</f>
        <v/>
      </c>
      <c r="S122" s="243" t="n"/>
      <c r="T122" s="249">
        <f>ROUNDUP(IF(Y122=0,0,Y122)*IF(Z122&gt;0,Z122,1)*IF(U122&gt;0,U122,1)*IF(W122&gt;0,W122,1),0)</f>
        <v/>
      </c>
      <c r="U122" s="245">
        <f>M122</f>
        <v/>
      </c>
      <c r="V122" s="243">
        <f>N122</f>
        <v/>
      </c>
      <c r="W122" s="245">
        <f>O122</f>
        <v/>
      </c>
      <c r="X122" s="243">
        <f>P122</f>
        <v/>
      </c>
      <c r="Y122" s="246">
        <f>Q122</f>
        <v/>
      </c>
      <c r="Z122" s="247">
        <f>R122</f>
        <v/>
      </c>
      <c r="AA122" s="243" t="n"/>
      <c r="AB122" s="254" t="n"/>
      <c r="AC122" s="254" t="n"/>
      <c r="AD122" s="254" t="n"/>
      <c r="AE122" s="254" t="n"/>
      <c r="AF122" s="254" t="n"/>
      <c r="AG122" s="255" t="n"/>
      <c r="AH122" s="256" t="n"/>
      <c r="AI122" s="253" t="n"/>
    </row>
    <row r="123" hidden="1" outlineLevel="1" s="592">
      <c r="A123" s="241">
        <f>$A116&amp;"."&amp;7</f>
        <v/>
      </c>
      <c r="B123" s="241" t="n"/>
      <c r="C123" s="255">
        <f>$C$116</f>
        <v/>
      </c>
      <c r="D123" s="243" t="n"/>
      <c r="E123" s="244">
        <f>ROUNDUP(IF(J123=0,0,J123)*IF(K123&gt;0,K123,1)*IF(F123&gt;0,F123,1)*IF(H123&gt;0,H123,1),0)</f>
        <v/>
      </c>
      <c r="F123" s="245" t="n"/>
      <c r="G123" s="243" t="n"/>
      <c r="H123" s="245" t="n"/>
      <c r="I123" s="243" t="n"/>
      <c r="J123" s="246" t="n"/>
      <c r="K123" s="247" t="n"/>
      <c r="L123" s="248">
        <f>ROUNDUP(IF(Q123=0,0,Q123)*IF(R123&gt;0,R123,1)*IF(M123&gt;0,M123,1)*IF(O123&gt;0,O123,1),0)</f>
        <v/>
      </c>
      <c r="M123" s="245">
        <f>F123</f>
        <v/>
      </c>
      <c r="N123" s="243">
        <f>G123</f>
        <v/>
      </c>
      <c r="O123" s="245">
        <f>H123</f>
        <v/>
      </c>
      <c r="P123" s="243">
        <f>I123</f>
        <v/>
      </c>
      <c r="Q123" s="246">
        <f>J123</f>
        <v/>
      </c>
      <c r="R123" s="247">
        <f>K123</f>
        <v/>
      </c>
      <c r="S123" s="243" t="n"/>
      <c r="T123" s="249">
        <f>ROUNDUP(IF(Y123=0,0,Y123)*IF(Z123&gt;0,Z123,1)*IF(U123&gt;0,U123,1)*IF(W123&gt;0,W123,1),0)</f>
        <v/>
      </c>
      <c r="U123" s="245">
        <f>M123</f>
        <v/>
      </c>
      <c r="V123" s="243">
        <f>N123</f>
        <v/>
      </c>
      <c r="W123" s="245">
        <f>O123</f>
        <v/>
      </c>
      <c r="X123" s="243">
        <f>P123</f>
        <v/>
      </c>
      <c r="Y123" s="246">
        <f>Q123</f>
        <v/>
      </c>
      <c r="Z123" s="247">
        <f>R123</f>
        <v/>
      </c>
      <c r="AA123" s="243" t="n"/>
      <c r="AB123" s="254" t="n"/>
      <c r="AC123" s="254" t="n"/>
      <c r="AD123" s="254" t="n"/>
      <c r="AE123" s="254" t="n"/>
      <c r="AF123" s="254" t="n"/>
      <c r="AG123" s="255" t="n"/>
      <c r="AH123" s="256" t="n"/>
      <c r="AI123" s="253" t="n"/>
    </row>
    <row r="124" hidden="1" outlineLevel="1" s="592">
      <c r="A124" s="241">
        <f>$A116&amp;"."&amp;8</f>
        <v/>
      </c>
      <c r="B124" s="241" t="n"/>
      <c r="C124" s="255">
        <f>$C$116</f>
        <v/>
      </c>
      <c r="D124" s="243" t="n"/>
      <c r="E124" s="244">
        <f>ROUNDUP(IF(J124=0,0,J124)*IF(K124&gt;0,K124,1)*IF(F124&gt;0,F124,1)*IF(H124&gt;0,H124,1),0)</f>
        <v/>
      </c>
      <c r="F124" s="245" t="n"/>
      <c r="G124" s="243" t="n"/>
      <c r="H124" s="245" t="n"/>
      <c r="I124" s="243" t="n"/>
      <c r="J124" s="246" t="n"/>
      <c r="K124" s="247" t="n"/>
      <c r="L124" s="248">
        <f>ROUNDUP(IF(Q124=0,0,Q124)*IF(R124&gt;0,R124,1)*IF(M124&gt;0,M124,1)*IF(O124&gt;0,O124,1),0)</f>
        <v/>
      </c>
      <c r="M124" s="245">
        <f>F124</f>
        <v/>
      </c>
      <c r="N124" s="243">
        <f>G124</f>
        <v/>
      </c>
      <c r="O124" s="245">
        <f>H124</f>
        <v/>
      </c>
      <c r="P124" s="243">
        <f>I124</f>
        <v/>
      </c>
      <c r="Q124" s="246">
        <f>J124</f>
        <v/>
      </c>
      <c r="R124" s="247">
        <f>K124</f>
        <v/>
      </c>
      <c r="S124" s="243" t="n"/>
      <c r="T124" s="249">
        <f>ROUNDUP(IF(Y124=0,0,Y124)*IF(Z124&gt;0,Z124,1)*IF(U124&gt;0,U124,1)*IF(W124&gt;0,W124,1),0)</f>
        <v/>
      </c>
      <c r="U124" s="245">
        <f>M124</f>
        <v/>
      </c>
      <c r="V124" s="243">
        <f>N124</f>
        <v/>
      </c>
      <c r="W124" s="245">
        <f>O124</f>
        <v/>
      </c>
      <c r="X124" s="243">
        <f>P124</f>
        <v/>
      </c>
      <c r="Y124" s="246">
        <f>Q124</f>
        <v/>
      </c>
      <c r="Z124" s="247">
        <f>R124</f>
        <v/>
      </c>
      <c r="AA124" s="243" t="n"/>
      <c r="AB124" s="254" t="n"/>
      <c r="AC124" s="254" t="n"/>
      <c r="AD124" s="254" t="n"/>
      <c r="AE124" s="254" t="n"/>
      <c r="AF124" s="254" t="n"/>
      <c r="AG124" s="255" t="n"/>
      <c r="AH124" s="256" t="n"/>
      <c r="AI124" s="253" t="n"/>
    </row>
    <row r="125" hidden="1" outlineLevel="1" s="592">
      <c r="A125" s="241">
        <f>$A116&amp;"."&amp;9</f>
        <v/>
      </c>
      <c r="B125" s="241" t="n"/>
      <c r="C125" s="255">
        <f>$C$116</f>
        <v/>
      </c>
      <c r="D125" s="243" t="n"/>
      <c r="E125" s="244">
        <f>ROUNDUP(IF(J125=0,0,J125)*IF(K125&gt;0,K125,1)*IF(F125&gt;0,F125,1)*IF(H125&gt;0,H125,1),0)</f>
        <v/>
      </c>
      <c r="F125" s="245" t="n"/>
      <c r="G125" s="243" t="n"/>
      <c r="H125" s="245" t="n"/>
      <c r="I125" s="243" t="n"/>
      <c r="J125" s="246" t="n"/>
      <c r="K125" s="247" t="n"/>
      <c r="L125" s="248">
        <f>ROUNDUP(IF(Q125=0,0,Q125)*IF(R125&gt;0,R125,1)*IF(M125&gt;0,M125,1)*IF(O125&gt;0,O125,1),0)</f>
        <v/>
      </c>
      <c r="M125" s="245">
        <f>F125</f>
        <v/>
      </c>
      <c r="N125" s="243">
        <f>G125</f>
        <v/>
      </c>
      <c r="O125" s="245">
        <f>H125</f>
        <v/>
      </c>
      <c r="P125" s="243">
        <f>I125</f>
        <v/>
      </c>
      <c r="Q125" s="246">
        <f>J125</f>
        <v/>
      </c>
      <c r="R125" s="247">
        <f>K125</f>
        <v/>
      </c>
      <c r="S125" s="243" t="n"/>
      <c r="T125" s="249">
        <f>ROUNDUP(IF(Y125=0,0,Y125)*IF(Z125&gt;0,Z125,1)*IF(U125&gt;0,U125,1)*IF(W125&gt;0,W125,1),0)</f>
        <v/>
      </c>
      <c r="U125" s="245">
        <f>M125</f>
        <v/>
      </c>
      <c r="V125" s="243">
        <f>N125</f>
        <v/>
      </c>
      <c r="W125" s="245">
        <f>O125</f>
        <v/>
      </c>
      <c r="X125" s="243">
        <f>P125</f>
        <v/>
      </c>
      <c r="Y125" s="246">
        <f>Q125</f>
        <v/>
      </c>
      <c r="Z125" s="247">
        <f>R125</f>
        <v/>
      </c>
      <c r="AA125" s="243" t="n"/>
      <c r="AB125" s="254" t="n"/>
      <c r="AC125" s="254" t="n"/>
      <c r="AD125" s="254" t="n"/>
      <c r="AE125" s="254" t="n"/>
      <c r="AF125" s="254" t="n"/>
      <c r="AG125" s="255" t="n"/>
      <c r="AH125" s="256" t="n"/>
      <c r="AI125" s="253" t="n"/>
    </row>
    <row r="126" hidden="1" outlineLevel="1" s="592">
      <c r="A126" s="241">
        <f>$A116&amp;"."&amp;10</f>
        <v/>
      </c>
      <c r="B126" s="241" t="n"/>
      <c r="C126" s="255">
        <f>$C$116</f>
        <v/>
      </c>
      <c r="D126" s="243" t="n"/>
      <c r="E126" s="244">
        <f>ROUNDUP(IF(J126=0,0,J126)*IF(K126&gt;0,K126,1)*IF(F126&gt;0,F126,1)*IF(H126&gt;0,H126,1),0)</f>
        <v/>
      </c>
      <c r="F126" s="245" t="n"/>
      <c r="G126" s="243" t="n"/>
      <c r="H126" s="245" t="n"/>
      <c r="I126" s="243" t="n"/>
      <c r="J126" s="246" t="n"/>
      <c r="K126" s="247" t="n"/>
      <c r="L126" s="248">
        <f>ROUNDUP(IF(Q126=0,0,Q126)*IF(R126&gt;0,R126,1)*IF(M126&gt;0,M126,1)*IF(O126&gt;0,O126,1),0)</f>
        <v/>
      </c>
      <c r="M126" s="245">
        <f>F126</f>
        <v/>
      </c>
      <c r="N126" s="243">
        <f>G126</f>
        <v/>
      </c>
      <c r="O126" s="245">
        <f>H126</f>
        <v/>
      </c>
      <c r="P126" s="243">
        <f>I126</f>
        <v/>
      </c>
      <c r="Q126" s="246">
        <f>J126</f>
        <v/>
      </c>
      <c r="R126" s="247">
        <f>K126</f>
        <v/>
      </c>
      <c r="S126" s="243" t="n"/>
      <c r="T126" s="249">
        <f>ROUNDUP(IF(Y126=0,0,Y126)*IF(Z126&gt;0,Z126,1)*IF(U126&gt;0,U126,1)*IF(W126&gt;0,W126,1),0)</f>
        <v/>
      </c>
      <c r="U126" s="245">
        <f>M126</f>
        <v/>
      </c>
      <c r="V126" s="243">
        <f>N126</f>
        <v/>
      </c>
      <c r="W126" s="245">
        <f>O126</f>
        <v/>
      </c>
      <c r="X126" s="243">
        <f>P126</f>
        <v/>
      </c>
      <c r="Y126" s="246">
        <f>Q126</f>
        <v/>
      </c>
      <c r="Z126" s="247">
        <f>R126</f>
        <v/>
      </c>
      <c r="AA126" s="243" t="n"/>
      <c r="AB126" s="254" t="n"/>
      <c r="AC126" s="254" t="n"/>
      <c r="AD126" s="254" t="n"/>
      <c r="AE126" s="254" t="n"/>
      <c r="AF126" s="254" t="n"/>
      <c r="AG126" s="255" t="n"/>
      <c r="AH126" s="256" t="n"/>
      <c r="AI126" s="253" t="n"/>
    </row>
    <row r="127" hidden="1" outlineLevel="1" s="592">
      <c r="A127" s="241">
        <f>$A116&amp;"."&amp;11</f>
        <v/>
      </c>
      <c r="B127" s="241" t="n"/>
      <c r="C127" s="255">
        <f>$C$116</f>
        <v/>
      </c>
      <c r="D127" s="243" t="n"/>
      <c r="E127" s="244">
        <f>ROUNDUP(IF(J127=0,0,J127)*IF(K127&gt;0,K127,1)*IF(F127&gt;0,F127,1)*IF(H127&gt;0,H127,1),0)</f>
        <v/>
      </c>
      <c r="F127" s="245" t="n"/>
      <c r="G127" s="243" t="n"/>
      <c r="H127" s="245" t="n"/>
      <c r="I127" s="243" t="n"/>
      <c r="J127" s="246" t="n"/>
      <c r="K127" s="247" t="n"/>
      <c r="L127" s="248">
        <f>ROUNDUP(IF(Q127=0,0,Q127)*IF(R127&gt;0,R127,1)*IF(M127&gt;0,M127,1)*IF(O127&gt;0,O127,1),0)</f>
        <v/>
      </c>
      <c r="M127" s="245">
        <f>F127</f>
        <v/>
      </c>
      <c r="N127" s="243">
        <f>G127</f>
        <v/>
      </c>
      <c r="O127" s="245">
        <f>H127</f>
        <v/>
      </c>
      <c r="P127" s="243">
        <f>I127</f>
        <v/>
      </c>
      <c r="Q127" s="246">
        <f>J127</f>
        <v/>
      </c>
      <c r="R127" s="247">
        <f>K127</f>
        <v/>
      </c>
      <c r="S127" s="243" t="n"/>
      <c r="T127" s="249">
        <f>ROUNDUP(IF(Y127=0,0,Y127)*IF(Z127&gt;0,Z127,1)*IF(U127&gt;0,U127,1)*IF(W127&gt;0,W127,1),0)</f>
        <v/>
      </c>
      <c r="U127" s="245">
        <f>M127</f>
        <v/>
      </c>
      <c r="V127" s="243">
        <f>N127</f>
        <v/>
      </c>
      <c r="W127" s="245">
        <f>O127</f>
        <v/>
      </c>
      <c r="X127" s="243">
        <f>P127</f>
        <v/>
      </c>
      <c r="Y127" s="246">
        <f>Q127</f>
        <v/>
      </c>
      <c r="Z127" s="247">
        <f>R127</f>
        <v/>
      </c>
      <c r="AA127" s="243" t="n"/>
      <c r="AB127" s="254" t="n"/>
      <c r="AC127" s="254" t="n"/>
      <c r="AD127" s="254" t="n"/>
      <c r="AE127" s="254" t="n"/>
      <c r="AF127" s="254" t="n"/>
      <c r="AG127" s="255" t="n"/>
      <c r="AH127" s="256" t="n"/>
      <c r="AI127" s="253" t="n"/>
    </row>
    <row r="128" hidden="1" outlineLevel="1" s="592">
      <c r="A128" s="241">
        <f>$A116&amp;"."&amp;12</f>
        <v/>
      </c>
      <c r="B128" s="241" t="n"/>
      <c r="C128" s="255">
        <f>$C$116</f>
        <v/>
      </c>
      <c r="D128" s="243" t="n"/>
      <c r="E128" s="244">
        <f>ROUNDUP(IF(J128=0,0,J128)*IF(K128&gt;0,K128,1)*IF(F128&gt;0,F128,1)*IF(H128&gt;0,H128,1),0)</f>
        <v/>
      </c>
      <c r="F128" s="245" t="n"/>
      <c r="G128" s="243" t="n"/>
      <c r="H128" s="245" t="n"/>
      <c r="I128" s="243" t="n"/>
      <c r="J128" s="246" t="n"/>
      <c r="K128" s="247" t="n"/>
      <c r="L128" s="248">
        <f>ROUNDUP(IF(Q128=0,0,Q128)*IF(R128&gt;0,R128,1)*IF(M128&gt;0,M128,1)*IF(O128&gt;0,O128,1),0)</f>
        <v/>
      </c>
      <c r="M128" s="245">
        <f>F128</f>
        <v/>
      </c>
      <c r="N128" s="243">
        <f>G128</f>
        <v/>
      </c>
      <c r="O128" s="245">
        <f>H128</f>
        <v/>
      </c>
      <c r="P128" s="243">
        <f>I128</f>
        <v/>
      </c>
      <c r="Q128" s="246">
        <f>J128</f>
        <v/>
      </c>
      <c r="R128" s="247">
        <f>K128</f>
        <v/>
      </c>
      <c r="S128" s="243" t="n"/>
      <c r="T128" s="249">
        <f>ROUNDUP(IF(Y128=0,0,Y128)*IF(Z128&gt;0,Z128,1)*IF(U128&gt;0,U128,1)*IF(W128&gt;0,W128,1),0)</f>
        <v/>
      </c>
      <c r="U128" s="245">
        <f>M128</f>
        <v/>
      </c>
      <c r="V128" s="243">
        <f>N128</f>
        <v/>
      </c>
      <c r="W128" s="245">
        <f>O128</f>
        <v/>
      </c>
      <c r="X128" s="243">
        <f>P128</f>
        <v/>
      </c>
      <c r="Y128" s="246">
        <f>Q128</f>
        <v/>
      </c>
      <c r="Z128" s="247">
        <f>R128</f>
        <v/>
      </c>
      <c r="AA128" s="243" t="n"/>
      <c r="AB128" s="254" t="n"/>
      <c r="AC128" s="254" t="n"/>
      <c r="AD128" s="254" t="n"/>
      <c r="AE128" s="254" t="n"/>
      <c r="AF128" s="254" t="n"/>
      <c r="AG128" s="255" t="n"/>
      <c r="AH128" s="256" t="n"/>
      <c r="AI128" s="253" t="n"/>
    </row>
    <row r="129" hidden="1" outlineLevel="1" s="592">
      <c r="A129" s="241">
        <f>$A116&amp;"."&amp;13</f>
        <v/>
      </c>
      <c r="B129" s="241" t="n"/>
      <c r="C129" s="255">
        <f>$C$116</f>
        <v/>
      </c>
      <c r="D129" s="243" t="n"/>
      <c r="E129" s="244">
        <f>ROUNDUP(IF(J129=0,0,J129)*IF(K129&gt;0,K129,1)*IF(F129&gt;0,F129,1)*IF(H129&gt;0,H129,1),0)</f>
        <v/>
      </c>
      <c r="F129" s="245" t="n"/>
      <c r="G129" s="243" t="n"/>
      <c r="H129" s="245" t="n"/>
      <c r="I129" s="243" t="n"/>
      <c r="J129" s="246" t="n"/>
      <c r="K129" s="247" t="n"/>
      <c r="L129" s="248">
        <f>ROUNDUP(IF(Q129=0,0,Q129)*IF(R129&gt;0,R129,1)*IF(M129&gt;0,M129,1)*IF(O129&gt;0,O129,1),0)</f>
        <v/>
      </c>
      <c r="M129" s="245">
        <f>F129</f>
        <v/>
      </c>
      <c r="N129" s="243">
        <f>G129</f>
        <v/>
      </c>
      <c r="O129" s="245">
        <f>H129</f>
        <v/>
      </c>
      <c r="P129" s="243">
        <f>I129</f>
        <v/>
      </c>
      <c r="Q129" s="246">
        <f>J129</f>
        <v/>
      </c>
      <c r="R129" s="247">
        <f>K129</f>
        <v/>
      </c>
      <c r="S129" s="243" t="n"/>
      <c r="T129" s="249">
        <f>ROUNDUP(IF(Y129=0,0,Y129)*IF(Z129&gt;0,Z129,1)*IF(U129&gt;0,U129,1)*IF(W129&gt;0,W129,1),0)</f>
        <v/>
      </c>
      <c r="U129" s="245">
        <f>M129</f>
        <v/>
      </c>
      <c r="V129" s="243">
        <f>N129</f>
        <v/>
      </c>
      <c r="W129" s="245">
        <f>O129</f>
        <v/>
      </c>
      <c r="X129" s="243">
        <f>P129</f>
        <v/>
      </c>
      <c r="Y129" s="246">
        <f>Q129</f>
        <v/>
      </c>
      <c r="Z129" s="247">
        <f>R129</f>
        <v/>
      </c>
      <c r="AA129" s="243" t="n"/>
      <c r="AB129" s="254" t="n"/>
      <c r="AC129" s="254" t="n"/>
      <c r="AD129" s="254" t="n"/>
      <c r="AE129" s="254" t="n"/>
      <c r="AF129" s="254" t="n"/>
      <c r="AG129" s="255" t="n"/>
      <c r="AH129" s="256" t="n"/>
      <c r="AI129" s="253" t="n"/>
    </row>
    <row r="130" hidden="1" outlineLevel="1" s="592">
      <c r="A130" s="241">
        <f>$A116&amp;"."&amp;14</f>
        <v/>
      </c>
      <c r="B130" s="241" t="n"/>
      <c r="C130" s="255">
        <f>$C$116</f>
        <v/>
      </c>
      <c r="D130" s="243" t="n"/>
      <c r="E130" s="244">
        <f>ROUNDUP(IF(J130=0,0,J130)*IF(K130&gt;0,K130,1)*IF(F130&gt;0,F130,1)*IF(H130&gt;0,H130,1),0)</f>
        <v/>
      </c>
      <c r="F130" s="245" t="n"/>
      <c r="G130" s="243" t="n"/>
      <c r="H130" s="245" t="n"/>
      <c r="I130" s="243" t="n"/>
      <c r="J130" s="246" t="n"/>
      <c r="K130" s="247" t="n"/>
      <c r="L130" s="248">
        <f>ROUNDUP(IF(Q130=0,0,Q130)*IF(R130&gt;0,R130,1)*IF(M130&gt;0,M130,1)*IF(O130&gt;0,O130,1),0)</f>
        <v/>
      </c>
      <c r="M130" s="245">
        <f>F130</f>
        <v/>
      </c>
      <c r="N130" s="243">
        <f>G130</f>
        <v/>
      </c>
      <c r="O130" s="245">
        <f>H130</f>
        <v/>
      </c>
      <c r="P130" s="243">
        <f>I130</f>
        <v/>
      </c>
      <c r="Q130" s="246">
        <f>J130</f>
        <v/>
      </c>
      <c r="R130" s="247">
        <f>K130</f>
        <v/>
      </c>
      <c r="S130" s="243" t="n"/>
      <c r="T130" s="249">
        <f>ROUNDUP(IF(Y130=0,0,Y130)*IF(Z130&gt;0,Z130,1)*IF(U130&gt;0,U130,1)*IF(W130&gt;0,W130,1),0)</f>
        <v/>
      </c>
      <c r="U130" s="245">
        <f>M130</f>
        <v/>
      </c>
      <c r="V130" s="243">
        <f>N130</f>
        <v/>
      </c>
      <c r="W130" s="245">
        <f>O130</f>
        <v/>
      </c>
      <c r="X130" s="243">
        <f>P130</f>
        <v/>
      </c>
      <c r="Y130" s="246">
        <f>Q130</f>
        <v/>
      </c>
      <c r="Z130" s="247">
        <f>R130</f>
        <v/>
      </c>
      <c r="AA130" s="243" t="n"/>
      <c r="AB130" s="254" t="n"/>
      <c r="AC130" s="254" t="n"/>
      <c r="AD130" s="254" t="n"/>
      <c r="AE130" s="254" t="n"/>
      <c r="AF130" s="254" t="n"/>
      <c r="AG130" s="255" t="n"/>
      <c r="AH130" s="256" t="n"/>
      <c r="AI130" s="253" t="n"/>
    </row>
    <row r="131" hidden="1" outlineLevel="1" s="592">
      <c r="A131" s="241">
        <f>$A116&amp;"."&amp;15</f>
        <v/>
      </c>
      <c r="B131" s="241" t="n"/>
      <c r="C131" s="255">
        <f>$C$116</f>
        <v/>
      </c>
      <c r="D131" s="243" t="n"/>
      <c r="E131" s="244">
        <f>ROUNDUP(IF(J131=0,0,J131)*IF(K131&gt;0,K131,1)*IF(F131&gt;0,F131,1)*IF(H131&gt;0,H131,1),0)</f>
        <v/>
      </c>
      <c r="F131" s="245" t="n"/>
      <c r="G131" s="243" t="n"/>
      <c r="H131" s="245" t="n"/>
      <c r="I131" s="243" t="n"/>
      <c r="J131" s="246" t="n"/>
      <c r="K131" s="247" t="n"/>
      <c r="L131" s="248">
        <f>ROUNDUP(IF(Q131=0,0,Q131)*IF(R131&gt;0,R131,1)*IF(M131&gt;0,M131,1)*IF(O131&gt;0,O131,1),0)</f>
        <v/>
      </c>
      <c r="M131" s="245">
        <f>F131</f>
        <v/>
      </c>
      <c r="N131" s="243">
        <f>G131</f>
        <v/>
      </c>
      <c r="O131" s="245">
        <f>H131</f>
        <v/>
      </c>
      <c r="P131" s="243">
        <f>I131</f>
        <v/>
      </c>
      <c r="Q131" s="246">
        <f>J131</f>
        <v/>
      </c>
      <c r="R131" s="247">
        <f>K131</f>
        <v/>
      </c>
      <c r="S131" s="243" t="n"/>
      <c r="T131" s="249">
        <f>ROUNDUP(IF(Y131=0,0,Y131)*IF(Z131&gt;0,Z131,1)*IF(U131&gt;0,U131,1)*IF(W131&gt;0,W131,1),0)</f>
        <v/>
      </c>
      <c r="U131" s="245">
        <f>M131</f>
        <v/>
      </c>
      <c r="V131" s="243">
        <f>N131</f>
        <v/>
      </c>
      <c r="W131" s="245">
        <f>O131</f>
        <v/>
      </c>
      <c r="X131" s="243">
        <f>P131</f>
        <v/>
      </c>
      <c r="Y131" s="246">
        <f>Q131</f>
        <v/>
      </c>
      <c r="Z131" s="247">
        <f>R131</f>
        <v/>
      </c>
      <c r="AA131" s="243" t="n"/>
      <c r="AB131" s="254" t="n"/>
      <c r="AC131" s="254" t="n"/>
      <c r="AD131" s="254" t="n"/>
      <c r="AE131" s="254" t="n"/>
      <c r="AF131" s="254" t="n"/>
      <c r="AG131" s="255" t="n"/>
      <c r="AH131" s="256" t="n"/>
      <c r="AI131" s="253" t="n"/>
    </row>
    <row r="132" hidden="1" outlineLevel="1" s="592">
      <c r="A132" s="241">
        <f>$A116&amp;"."&amp;16</f>
        <v/>
      </c>
      <c r="B132" s="241" t="n"/>
      <c r="C132" s="255">
        <f>$C$116</f>
        <v/>
      </c>
      <c r="D132" s="243" t="n"/>
      <c r="E132" s="244">
        <f>ROUNDUP(IF(J132=0,0,J132)*IF(K132&gt;0,K132,1)*IF(F132&gt;0,F132,1)*IF(H132&gt;0,H132,1),0)</f>
        <v/>
      </c>
      <c r="F132" s="245" t="n"/>
      <c r="G132" s="243" t="n"/>
      <c r="H132" s="245" t="n"/>
      <c r="I132" s="243" t="n"/>
      <c r="J132" s="246" t="n"/>
      <c r="K132" s="247" t="n"/>
      <c r="L132" s="248">
        <f>ROUNDUP(IF(Q132=0,0,Q132)*IF(R132&gt;0,R132,1)*IF(M132&gt;0,M132,1)*IF(O132&gt;0,O132,1),0)</f>
        <v/>
      </c>
      <c r="M132" s="245">
        <f>F132</f>
        <v/>
      </c>
      <c r="N132" s="243">
        <f>G132</f>
        <v/>
      </c>
      <c r="O132" s="245">
        <f>H132</f>
        <v/>
      </c>
      <c r="P132" s="243">
        <f>I132</f>
        <v/>
      </c>
      <c r="Q132" s="246">
        <f>J132</f>
        <v/>
      </c>
      <c r="R132" s="247">
        <f>K132</f>
        <v/>
      </c>
      <c r="S132" s="243" t="n"/>
      <c r="T132" s="249">
        <f>ROUNDUP(IF(Y132=0,0,Y132)*IF(Z132&gt;0,Z132,1)*IF(U132&gt;0,U132,1)*IF(W132&gt;0,W132,1),0)</f>
        <v/>
      </c>
      <c r="U132" s="245">
        <f>M132</f>
        <v/>
      </c>
      <c r="V132" s="243">
        <f>N132</f>
        <v/>
      </c>
      <c r="W132" s="245">
        <f>O132</f>
        <v/>
      </c>
      <c r="X132" s="243">
        <f>P132</f>
        <v/>
      </c>
      <c r="Y132" s="246">
        <f>Q132</f>
        <v/>
      </c>
      <c r="Z132" s="247">
        <f>R132</f>
        <v/>
      </c>
      <c r="AA132" s="243" t="n"/>
      <c r="AB132" s="254" t="n"/>
      <c r="AC132" s="254" t="n"/>
      <c r="AD132" s="254" t="n"/>
      <c r="AE132" s="254" t="n"/>
      <c r="AF132" s="254" t="n"/>
      <c r="AG132" s="255" t="n"/>
      <c r="AH132" s="256" t="n"/>
      <c r="AI132" s="253" t="n"/>
    </row>
    <row r="133" hidden="1" outlineLevel="1" s="592">
      <c r="A133" s="241">
        <f>$A116&amp;"."&amp;17</f>
        <v/>
      </c>
      <c r="B133" s="241" t="n"/>
      <c r="C133" s="255">
        <f>$C$116</f>
        <v/>
      </c>
      <c r="D133" s="243" t="n"/>
      <c r="E133" s="244">
        <f>ROUNDUP(IF(J133=0,0,J133)*IF(K133&gt;0,K133,1)*IF(F133&gt;0,F133,1)*IF(H133&gt;0,H133,1),0)</f>
        <v/>
      </c>
      <c r="F133" s="245" t="n"/>
      <c r="G133" s="243" t="n"/>
      <c r="H133" s="245" t="n"/>
      <c r="I133" s="243" t="n"/>
      <c r="J133" s="246" t="n"/>
      <c r="K133" s="247" t="n"/>
      <c r="L133" s="248">
        <f>ROUNDUP(IF(Q133=0,0,Q133)*IF(R133&gt;0,R133,1)*IF(M133&gt;0,M133,1)*IF(O133&gt;0,O133,1),0)</f>
        <v/>
      </c>
      <c r="M133" s="245">
        <f>F133</f>
        <v/>
      </c>
      <c r="N133" s="243">
        <f>G133</f>
        <v/>
      </c>
      <c r="O133" s="245">
        <f>H133</f>
        <v/>
      </c>
      <c r="P133" s="243">
        <f>I133</f>
        <v/>
      </c>
      <c r="Q133" s="246">
        <f>J133</f>
        <v/>
      </c>
      <c r="R133" s="247">
        <f>K133</f>
        <v/>
      </c>
      <c r="S133" s="243" t="n"/>
      <c r="T133" s="249">
        <f>ROUNDUP(IF(Y133=0,0,Y133)*IF(Z133&gt;0,Z133,1)*IF(U133&gt;0,U133,1)*IF(W133&gt;0,W133,1),0)</f>
        <v/>
      </c>
      <c r="U133" s="245">
        <f>M133</f>
        <v/>
      </c>
      <c r="V133" s="243">
        <f>N133</f>
        <v/>
      </c>
      <c r="W133" s="245">
        <f>O133</f>
        <v/>
      </c>
      <c r="X133" s="243">
        <f>P133</f>
        <v/>
      </c>
      <c r="Y133" s="246">
        <f>Q133</f>
        <v/>
      </c>
      <c r="Z133" s="247">
        <f>R133</f>
        <v/>
      </c>
      <c r="AA133" s="243" t="n"/>
      <c r="AB133" s="254" t="n"/>
      <c r="AC133" s="254" t="n"/>
      <c r="AD133" s="254" t="n"/>
      <c r="AE133" s="254" t="n"/>
      <c r="AF133" s="254" t="n"/>
      <c r="AG133" s="255" t="n"/>
      <c r="AH133" s="256" t="n"/>
      <c r="AI133" s="253" t="n"/>
    </row>
    <row r="134" hidden="1" outlineLevel="1" s="592">
      <c r="A134" s="241">
        <f>$A116&amp;"."&amp;18</f>
        <v/>
      </c>
      <c r="B134" s="241" t="n"/>
      <c r="C134" s="255">
        <f>$C$116</f>
        <v/>
      </c>
      <c r="D134" s="243" t="n"/>
      <c r="E134" s="244">
        <f>ROUNDUP(IF(J134=0,0,J134)*IF(K134&gt;0,K134,1)*IF(F134&gt;0,F134,1)*IF(H134&gt;0,H134,1),0)</f>
        <v/>
      </c>
      <c r="F134" s="245" t="n"/>
      <c r="G134" s="243" t="n"/>
      <c r="H134" s="245" t="n"/>
      <c r="I134" s="243" t="n"/>
      <c r="J134" s="246" t="n"/>
      <c r="K134" s="247" t="n"/>
      <c r="L134" s="248">
        <f>ROUNDUP(IF(Q134=0,0,Q134)*IF(R134&gt;0,R134,1)*IF(M134&gt;0,M134,1)*IF(O134&gt;0,O134,1),0)</f>
        <v/>
      </c>
      <c r="M134" s="245">
        <f>F134</f>
        <v/>
      </c>
      <c r="N134" s="243">
        <f>G134</f>
        <v/>
      </c>
      <c r="O134" s="245">
        <f>H134</f>
        <v/>
      </c>
      <c r="P134" s="243">
        <f>I134</f>
        <v/>
      </c>
      <c r="Q134" s="246">
        <f>J134</f>
        <v/>
      </c>
      <c r="R134" s="247">
        <f>K134</f>
        <v/>
      </c>
      <c r="S134" s="243" t="n"/>
      <c r="T134" s="249">
        <f>ROUNDUP(IF(Y134=0,0,Y134)*IF(Z134&gt;0,Z134,1)*IF(U134&gt;0,U134,1)*IF(W134&gt;0,W134,1),0)</f>
        <v/>
      </c>
      <c r="U134" s="245">
        <f>M134</f>
        <v/>
      </c>
      <c r="V134" s="243">
        <f>N134</f>
        <v/>
      </c>
      <c r="W134" s="245">
        <f>O134</f>
        <v/>
      </c>
      <c r="X134" s="243">
        <f>P134</f>
        <v/>
      </c>
      <c r="Y134" s="246">
        <f>Q134</f>
        <v/>
      </c>
      <c r="Z134" s="247">
        <f>R134</f>
        <v/>
      </c>
      <c r="AA134" s="243" t="n"/>
      <c r="AB134" s="254" t="n"/>
      <c r="AC134" s="254" t="n"/>
      <c r="AD134" s="254" t="n"/>
      <c r="AE134" s="254" t="n"/>
      <c r="AF134" s="254" t="n"/>
      <c r="AG134" s="255" t="n"/>
      <c r="AH134" s="256" t="n"/>
      <c r="AI134" s="253" t="n"/>
    </row>
    <row r="135" hidden="1" outlineLevel="1" s="592">
      <c r="A135" s="241">
        <f>$A116&amp;"."&amp;19</f>
        <v/>
      </c>
      <c r="B135" s="241" t="n"/>
      <c r="C135" s="255">
        <f>$C$116</f>
        <v/>
      </c>
      <c r="D135" s="243" t="n"/>
      <c r="E135" s="244">
        <f>ROUNDUP(IF(J135=0,0,J135)*IF(K135&gt;0,K135,1)*IF(F135&gt;0,F135,1)*IF(H135&gt;0,H135,1),0)</f>
        <v/>
      </c>
      <c r="F135" s="245" t="n"/>
      <c r="G135" s="243" t="n"/>
      <c r="H135" s="245" t="n"/>
      <c r="I135" s="243" t="n"/>
      <c r="J135" s="246" t="n"/>
      <c r="K135" s="247" t="n"/>
      <c r="L135" s="248">
        <f>ROUNDUP(IF(Q135=0,0,Q135)*IF(R135&gt;0,R135,1)*IF(M135&gt;0,M135,1)*IF(O135&gt;0,O135,1),0)</f>
        <v/>
      </c>
      <c r="M135" s="245">
        <f>F135</f>
        <v/>
      </c>
      <c r="N135" s="243">
        <f>G135</f>
        <v/>
      </c>
      <c r="O135" s="245">
        <f>H135</f>
        <v/>
      </c>
      <c r="P135" s="243">
        <f>I135</f>
        <v/>
      </c>
      <c r="Q135" s="246">
        <f>J135</f>
        <v/>
      </c>
      <c r="R135" s="247">
        <f>K135</f>
        <v/>
      </c>
      <c r="S135" s="243" t="n"/>
      <c r="T135" s="249">
        <f>ROUNDUP(IF(Y135=0,0,Y135)*IF(Z135&gt;0,Z135,1)*IF(U135&gt;0,U135,1)*IF(W135&gt;0,W135,1),0)</f>
        <v/>
      </c>
      <c r="U135" s="245">
        <f>M135</f>
        <v/>
      </c>
      <c r="V135" s="243">
        <f>N135</f>
        <v/>
      </c>
      <c r="W135" s="245">
        <f>O135</f>
        <v/>
      </c>
      <c r="X135" s="243">
        <f>P135</f>
        <v/>
      </c>
      <c r="Y135" s="246">
        <f>Q135</f>
        <v/>
      </c>
      <c r="Z135" s="247">
        <f>R135</f>
        <v/>
      </c>
      <c r="AA135" s="243" t="n"/>
      <c r="AB135" s="254" t="n"/>
      <c r="AC135" s="254" t="n"/>
      <c r="AD135" s="254" t="n"/>
      <c r="AE135" s="254" t="n"/>
      <c r="AF135" s="254" t="n"/>
      <c r="AG135" s="255" t="n"/>
      <c r="AH135" s="256" t="n"/>
      <c r="AI135" s="253" t="n"/>
    </row>
    <row r="136" hidden="1" outlineLevel="1" s="592">
      <c r="A136" s="241">
        <f>$A116&amp;"."&amp;20</f>
        <v/>
      </c>
      <c r="B136" s="241" t="n"/>
      <c r="C136" s="255">
        <f>$C$116</f>
        <v/>
      </c>
      <c r="D136" s="243" t="n"/>
      <c r="E136" s="244">
        <f>ROUNDUP(IF(J136=0,0,J136)*IF(K136&gt;0,K136,1)*IF(F136&gt;0,F136,1)*IF(H136&gt;0,H136,1),0)</f>
        <v/>
      </c>
      <c r="F136" s="245" t="n"/>
      <c r="G136" s="243" t="n"/>
      <c r="H136" s="245" t="n"/>
      <c r="I136" s="243" t="n"/>
      <c r="J136" s="246" t="n"/>
      <c r="K136" s="247" t="n"/>
      <c r="L136" s="248">
        <f>ROUNDUP(IF(Q136=0,0,Q136)*IF(R136&gt;0,R136,1)*IF(M136&gt;0,M136,1)*IF(O136&gt;0,O136,1),0)</f>
        <v/>
      </c>
      <c r="M136" s="245">
        <f>F136</f>
        <v/>
      </c>
      <c r="N136" s="243">
        <f>G136</f>
        <v/>
      </c>
      <c r="O136" s="245">
        <f>H136</f>
        <v/>
      </c>
      <c r="P136" s="243">
        <f>I136</f>
        <v/>
      </c>
      <c r="Q136" s="246">
        <f>J136</f>
        <v/>
      </c>
      <c r="R136" s="247">
        <f>K136</f>
        <v/>
      </c>
      <c r="S136" s="243" t="n"/>
      <c r="T136" s="249">
        <f>ROUNDUP(IF(Y136=0,0,Y136)*IF(Z136&gt;0,Z136,1)*IF(U136&gt;0,U136,1)*IF(W136&gt;0,W136,1),0)</f>
        <v/>
      </c>
      <c r="U136" s="245">
        <f>M136</f>
        <v/>
      </c>
      <c r="V136" s="243">
        <f>N136</f>
        <v/>
      </c>
      <c r="W136" s="245">
        <f>O136</f>
        <v/>
      </c>
      <c r="X136" s="243">
        <f>P136</f>
        <v/>
      </c>
      <c r="Y136" s="246">
        <f>Q136</f>
        <v/>
      </c>
      <c r="Z136" s="247">
        <f>R136</f>
        <v/>
      </c>
      <c r="AA136" s="243" t="n"/>
      <c r="AB136" s="254" t="n"/>
      <c r="AC136" s="254" t="n"/>
      <c r="AD136" s="254" t="n"/>
      <c r="AE136" s="254" t="n"/>
      <c r="AF136" s="254" t="n"/>
      <c r="AG136" s="255" t="n"/>
      <c r="AH136" s="256" t="n"/>
      <c r="AI136" s="253" t="n"/>
    </row>
    <row r="137" collapsed="1" s="592">
      <c r="A137" s="257" t="n">
        <v>7</v>
      </c>
      <c r="B137" s="257">
        <f>IFERROR(__xludf.DUMMYFUNCTION("vlookup(C137,IMPORTRANGE(REF!$B$3,""FP!B:C""),2,0)"),"#N/A")</f>
        <v/>
      </c>
      <c r="C137" s="237" t="inlineStr">
        <is>
          <t>ชื่อกิจกรรมที่ 7</t>
        </is>
      </c>
      <c r="D137" s="232" t="n"/>
      <c r="E137" s="233">
        <f>SUM(E138:E157)</f>
        <v/>
      </c>
      <c r="F137" s="234" t="n"/>
      <c r="G137" s="235" t="n"/>
      <c r="H137" s="234" t="n"/>
      <c r="I137" s="235" t="n"/>
      <c r="J137" s="233" t="n"/>
      <c r="K137" s="236" t="n"/>
      <c r="L137" s="233">
        <f>SUM(L138:L157)</f>
        <v/>
      </c>
      <c r="M137" s="234" t="n"/>
      <c r="N137" s="235" t="n"/>
      <c r="O137" s="234" t="n"/>
      <c r="P137" s="235" t="n"/>
      <c r="Q137" s="233" t="n"/>
      <c r="R137" s="236" t="n"/>
      <c r="S137" s="235" t="n"/>
      <c r="T137" s="233">
        <f>SUM(T138:T157)</f>
        <v/>
      </c>
      <c r="U137" s="234" t="n"/>
      <c r="V137" s="235" t="n"/>
      <c r="W137" s="234" t="n"/>
      <c r="X137" s="235" t="n"/>
      <c r="Y137" s="233" t="n"/>
      <c r="Z137" s="236" t="n"/>
      <c r="AA137" s="235" t="n"/>
      <c r="AB137" s="237" t="n"/>
      <c r="AC137" s="237" t="n"/>
      <c r="AD137" s="237" t="n"/>
      <c r="AE137" s="237" t="n"/>
      <c r="AF137" s="237" t="n"/>
      <c r="AG137" s="238" t="b">
        <v>0</v>
      </c>
      <c r="AH137" s="239" t="n"/>
      <c r="AI137" s="253" t="n"/>
    </row>
    <row r="138" hidden="1" outlineLevel="1" s="592">
      <c r="A138" s="241">
        <f>$A137&amp;"."&amp;1</f>
        <v/>
      </c>
      <c r="B138" s="241" t="n"/>
      <c r="C138" s="255">
        <f>$C$137</f>
        <v/>
      </c>
      <c r="D138" s="243" t="n"/>
      <c r="E138" s="244">
        <f>ROUNDUP(IF(J138=0,0,J138)*IF(K138&gt;0,K138,1)*IF(F138&gt;0,F138,1)*IF(H138&gt;0,H138,1),0)</f>
        <v/>
      </c>
      <c r="F138" s="245" t="n"/>
      <c r="G138" s="243" t="n"/>
      <c r="H138" s="245" t="n"/>
      <c r="I138" s="243" t="n"/>
      <c r="J138" s="246" t="n"/>
      <c r="K138" s="247" t="n"/>
      <c r="L138" s="248">
        <f>ROUNDUP(IF(Q138=0,0,Q138)*IF(R138&gt;0,R138,1)*IF(M138&gt;0,M138,1)*IF(O138&gt;0,O138,1),0)</f>
        <v/>
      </c>
      <c r="M138" s="245">
        <f>F138</f>
        <v/>
      </c>
      <c r="N138" s="243">
        <f>G138</f>
        <v/>
      </c>
      <c r="O138" s="245">
        <f>H138</f>
        <v/>
      </c>
      <c r="P138" s="243">
        <f>I138</f>
        <v/>
      </c>
      <c r="Q138" s="246">
        <f>J138</f>
        <v/>
      </c>
      <c r="R138" s="247">
        <f>K138</f>
        <v/>
      </c>
      <c r="S138" s="243" t="n"/>
      <c r="T138" s="249">
        <f>ROUNDUP(IF(Y138=0,0,Y138)*IF(Z138&gt;0,Z138,1)*IF(U138&gt;0,U138,1)*IF(W138&gt;0,W138,1),0)</f>
        <v/>
      </c>
      <c r="U138" s="245">
        <f>M138</f>
        <v/>
      </c>
      <c r="V138" s="243">
        <f>N138</f>
        <v/>
      </c>
      <c r="W138" s="245">
        <f>O138</f>
        <v/>
      </c>
      <c r="X138" s="243">
        <f>P138</f>
        <v/>
      </c>
      <c r="Y138" s="246">
        <f>Q138</f>
        <v/>
      </c>
      <c r="Z138" s="247">
        <f>R138</f>
        <v/>
      </c>
      <c r="AA138" s="243" t="n"/>
      <c r="AB138" s="254" t="n"/>
      <c r="AC138" s="254" t="n"/>
      <c r="AD138" s="254" t="n"/>
      <c r="AE138" s="254" t="n"/>
      <c r="AF138" s="254" t="n"/>
      <c r="AG138" s="255" t="n"/>
      <c r="AH138" s="256" t="n"/>
      <c r="AI138" s="253" t="n"/>
    </row>
    <row r="139" hidden="1" outlineLevel="1" s="592">
      <c r="A139" s="241">
        <f>$A137&amp;"."&amp;2</f>
        <v/>
      </c>
      <c r="B139" s="241" t="n"/>
      <c r="C139" s="255">
        <f>$C$137</f>
        <v/>
      </c>
      <c r="D139" s="243" t="n"/>
      <c r="E139" s="244">
        <f>ROUNDUP(IF(J139=0,0,J139)*IF(K139&gt;0,K139,1)*IF(F139&gt;0,F139,1)*IF(H139&gt;0,H139,1),0)</f>
        <v/>
      </c>
      <c r="F139" s="245" t="n"/>
      <c r="G139" s="243" t="n"/>
      <c r="H139" s="245" t="n"/>
      <c r="I139" s="243" t="n"/>
      <c r="J139" s="246" t="n"/>
      <c r="K139" s="247" t="n"/>
      <c r="L139" s="248">
        <f>ROUNDUP(IF(Q139=0,0,Q139)*IF(R139&gt;0,R139,1)*IF(M139&gt;0,M139,1)*IF(O139&gt;0,O139,1),0)</f>
        <v/>
      </c>
      <c r="M139" s="245">
        <f>F139</f>
        <v/>
      </c>
      <c r="N139" s="243">
        <f>G139</f>
        <v/>
      </c>
      <c r="O139" s="245">
        <f>H139</f>
        <v/>
      </c>
      <c r="P139" s="243">
        <f>I139</f>
        <v/>
      </c>
      <c r="Q139" s="246">
        <f>J139</f>
        <v/>
      </c>
      <c r="R139" s="247">
        <f>K139</f>
        <v/>
      </c>
      <c r="S139" s="243" t="n"/>
      <c r="T139" s="249">
        <f>ROUNDUP(IF(Y139=0,0,Y139)*IF(Z139&gt;0,Z139,1)*IF(U139&gt;0,U139,1)*IF(W139&gt;0,W139,1),0)</f>
        <v/>
      </c>
      <c r="U139" s="245">
        <f>M139</f>
        <v/>
      </c>
      <c r="V139" s="243">
        <f>N139</f>
        <v/>
      </c>
      <c r="W139" s="245">
        <f>O139</f>
        <v/>
      </c>
      <c r="X139" s="243">
        <f>P139</f>
        <v/>
      </c>
      <c r="Y139" s="246">
        <f>Q139</f>
        <v/>
      </c>
      <c r="Z139" s="247">
        <f>R139</f>
        <v/>
      </c>
      <c r="AA139" s="243" t="n"/>
      <c r="AB139" s="254" t="n"/>
      <c r="AC139" s="254" t="n"/>
      <c r="AD139" s="254" t="n"/>
      <c r="AE139" s="254" t="n"/>
      <c r="AF139" s="254" t="n"/>
      <c r="AG139" s="255" t="n"/>
      <c r="AH139" s="256" t="n"/>
      <c r="AI139" s="253" t="n"/>
    </row>
    <row r="140" hidden="1" outlineLevel="1" s="592">
      <c r="A140" s="241">
        <f>$A137&amp;"."&amp;3</f>
        <v/>
      </c>
      <c r="B140" s="241" t="n"/>
      <c r="C140" s="255">
        <f>$C$137</f>
        <v/>
      </c>
      <c r="D140" s="243" t="n"/>
      <c r="E140" s="244">
        <f>ROUNDUP(IF(J140=0,0,J140)*IF(K140&gt;0,K140,1)*IF(F140&gt;0,F140,1)*IF(H140&gt;0,H140,1),0)</f>
        <v/>
      </c>
      <c r="F140" s="245" t="n"/>
      <c r="G140" s="243" t="n"/>
      <c r="H140" s="245" t="n"/>
      <c r="I140" s="243" t="n"/>
      <c r="J140" s="246" t="n"/>
      <c r="K140" s="247" t="n"/>
      <c r="L140" s="248">
        <f>ROUNDUP(IF(Q140=0,0,Q140)*IF(R140&gt;0,R140,1)*IF(M140&gt;0,M140,1)*IF(O140&gt;0,O140,1),0)</f>
        <v/>
      </c>
      <c r="M140" s="245">
        <f>F140</f>
        <v/>
      </c>
      <c r="N140" s="243">
        <f>G140</f>
        <v/>
      </c>
      <c r="O140" s="245">
        <f>H140</f>
        <v/>
      </c>
      <c r="P140" s="243">
        <f>I140</f>
        <v/>
      </c>
      <c r="Q140" s="246">
        <f>J140</f>
        <v/>
      </c>
      <c r="R140" s="247">
        <f>K140</f>
        <v/>
      </c>
      <c r="S140" s="243" t="n"/>
      <c r="T140" s="249">
        <f>ROUNDUP(IF(Y140=0,0,Y140)*IF(Z140&gt;0,Z140,1)*IF(U140&gt;0,U140,1)*IF(W140&gt;0,W140,1),0)</f>
        <v/>
      </c>
      <c r="U140" s="245">
        <f>M140</f>
        <v/>
      </c>
      <c r="V140" s="243">
        <f>N140</f>
        <v/>
      </c>
      <c r="W140" s="245">
        <f>O140</f>
        <v/>
      </c>
      <c r="X140" s="243">
        <f>P140</f>
        <v/>
      </c>
      <c r="Y140" s="246">
        <f>Q140</f>
        <v/>
      </c>
      <c r="Z140" s="247">
        <f>R140</f>
        <v/>
      </c>
      <c r="AA140" s="243" t="n"/>
      <c r="AB140" s="254" t="n"/>
      <c r="AC140" s="254" t="n"/>
      <c r="AD140" s="254" t="n"/>
      <c r="AE140" s="254" t="n"/>
      <c r="AF140" s="254" t="n"/>
      <c r="AG140" s="255" t="n"/>
      <c r="AH140" s="256" t="n"/>
      <c r="AI140" s="253" t="n"/>
    </row>
    <row r="141" hidden="1" outlineLevel="1" s="592">
      <c r="A141" s="241">
        <f>$A137&amp;"."&amp;4</f>
        <v/>
      </c>
      <c r="B141" s="241" t="n"/>
      <c r="C141" s="255">
        <f>$C$137</f>
        <v/>
      </c>
      <c r="D141" s="243" t="n"/>
      <c r="E141" s="244">
        <f>ROUNDUP(IF(J141=0,0,J141)*IF(K141&gt;0,K141,1)*IF(F141&gt;0,F141,1)*IF(H141&gt;0,H141,1),0)</f>
        <v/>
      </c>
      <c r="F141" s="245" t="n"/>
      <c r="G141" s="243" t="n"/>
      <c r="H141" s="245" t="n"/>
      <c r="I141" s="243" t="n"/>
      <c r="J141" s="246" t="n"/>
      <c r="K141" s="247" t="n"/>
      <c r="L141" s="248">
        <f>ROUNDUP(IF(Q141=0,0,Q141)*IF(R141&gt;0,R141,1)*IF(M141&gt;0,M141,1)*IF(O141&gt;0,O141,1),0)</f>
        <v/>
      </c>
      <c r="M141" s="245">
        <f>F141</f>
        <v/>
      </c>
      <c r="N141" s="243">
        <f>G141</f>
        <v/>
      </c>
      <c r="O141" s="245">
        <f>H141</f>
        <v/>
      </c>
      <c r="P141" s="243">
        <f>I141</f>
        <v/>
      </c>
      <c r="Q141" s="246">
        <f>J141</f>
        <v/>
      </c>
      <c r="R141" s="247">
        <f>K141</f>
        <v/>
      </c>
      <c r="S141" s="243" t="n"/>
      <c r="T141" s="249">
        <f>ROUNDUP(IF(Y141=0,0,Y141)*IF(Z141&gt;0,Z141,1)*IF(U141&gt;0,U141,1)*IF(W141&gt;0,W141,1),0)</f>
        <v/>
      </c>
      <c r="U141" s="245">
        <f>M141</f>
        <v/>
      </c>
      <c r="V141" s="243">
        <f>N141</f>
        <v/>
      </c>
      <c r="W141" s="245">
        <f>O141</f>
        <v/>
      </c>
      <c r="X141" s="243">
        <f>P141</f>
        <v/>
      </c>
      <c r="Y141" s="246">
        <f>Q141</f>
        <v/>
      </c>
      <c r="Z141" s="247">
        <f>R141</f>
        <v/>
      </c>
      <c r="AA141" s="243" t="n"/>
      <c r="AB141" s="254" t="n"/>
      <c r="AC141" s="254" t="n"/>
      <c r="AD141" s="254" t="n"/>
      <c r="AE141" s="254" t="n"/>
      <c r="AF141" s="254" t="n"/>
      <c r="AG141" s="255" t="n"/>
      <c r="AH141" s="256" t="n"/>
      <c r="AI141" s="253" t="n"/>
    </row>
    <row r="142" hidden="1" outlineLevel="1" s="592">
      <c r="A142" s="241">
        <f>$A137&amp;"."&amp;5</f>
        <v/>
      </c>
      <c r="B142" s="241" t="n"/>
      <c r="C142" s="255">
        <f>$C$137</f>
        <v/>
      </c>
      <c r="D142" s="243" t="n"/>
      <c r="E142" s="244">
        <f>ROUNDUP(IF(J142=0,0,J142)*IF(K142&gt;0,K142,1)*IF(F142&gt;0,F142,1)*IF(H142&gt;0,H142,1),0)</f>
        <v/>
      </c>
      <c r="F142" s="245" t="n"/>
      <c r="G142" s="243" t="n"/>
      <c r="H142" s="245" t="n"/>
      <c r="I142" s="243" t="n"/>
      <c r="J142" s="246" t="n"/>
      <c r="K142" s="247" t="n"/>
      <c r="L142" s="248">
        <f>ROUNDUP(IF(Q142=0,0,Q142)*IF(R142&gt;0,R142,1)*IF(M142&gt;0,M142,1)*IF(O142&gt;0,O142,1),0)</f>
        <v/>
      </c>
      <c r="M142" s="245">
        <f>F142</f>
        <v/>
      </c>
      <c r="N142" s="243">
        <f>G142</f>
        <v/>
      </c>
      <c r="O142" s="245">
        <f>H142</f>
        <v/>
      </c>
      <c r="P142" s="243">
        <f>I142</f>
        <v/>
      </c>
      <c r="Q142" s="246">
        <f>J142</f>
        <v/>
      </c>
      <c r="R142" s="247">
        <f>K142</f>
        <v/>
      </c>
      <c r="S142" s="243" t="n"/>
      <c r="T142" s="249">
        <f>ROUNDUP(IF(Y142=0,0,Y142)*IF(Z142&gt;0,Z142,1)*IF(U142&gt;0,U142,1)*IF(W142&gt;0,W142,1),0)</f>
        <v/>
      </c>
      <c r="U142" s="245">
        <f>M142</f>
        <v/>
      </c>
      <c r="V142" s="243">
        <f>N142</f>
        <v/>
      </c>
      <c r="W142" s="245">
        <f>O142</f>
        <v/>
      </c>
      <c r="X142" s="243">
        <f>P142</f>
        <v/>
      </c>
      <c r="Y142" s="246">
        <f>Q142</f>
        <v/>
      </c>
      <c r="Z142" s="247">
        <f>R142</f>
        <v/>
      </c>
      <c r="AA142" s="243" t="n"/>
      <c r="AB142" s="254" t="n"/>
      <c r="AC142" s="254" t="n"/>
      <c r="AD142" s="254" t="n"/>
      <c r="AE142" s="254" t="n"/>
      <c r="AF142" s="254" t="n"/>
      <c r="AG142" s="255" t="n"/>
      <c r="AH142" s="256" t="n"/>
      <c r="AI142" s="253" t="n"/>
    </row>
    <row r="143" hidden="1" outlineLevel="1" s="592">
      <c r="A143" s="241">
        <f>$A137&amp;"."&amp;6</f>
        <v/>
      </c>
      <c r="B143" s="241" t="n"/>
      <c r="C143" s="255">
        <f>$C$137</f>
        <v/>
      </c>
      <c r="D143" s="243" t="n"/>
      <c r="E143" s="244">
        <f>ROUNDUP(IF(J143=0,0,J143)*IF(K143&gt;0,K143,1)*IF(F143&gt;0,F143,1)*IF(H143&gt;0,H143,1),0)</f>
        <v/>
      </c>
      <c r="F143" s="245" t="n"/>
      <c r="G143" s="243" t="n"/>
      <c r="H143" s="245" t="n"/>
      <c r="I143" s="243" t="n"/>
      <c r="J143" s="246" t="n"/>
      <c r="K143" s="247" t="n"/>
      <c r="L143" s="248">
        <f>ROUNDUP(IF(Q143=0,0,Q143)*IF(R143&gt;0,R143,1)*IF(M143&gt;0,M143,1)*IF(O143&gt;0,O143,1),0)</f>
        <v/>
      </c>
      <c r="M143" s="245">
        <f>F143</f>
        <v/>
      </c>
      <c r="N143" s="243">
        <f>G143</f>
        <v/>
      </c>
      <c r="O143" s="245">
        <f>H143</f>
        <v/>
      </c>
      <c r="P143" s="243">
        <f>I143</f>
        <v/>
      </c>
      <c r="Q143" s="246">
        <f>J143</f>
        <v/>
      </c>
      <c r="R143" s="247">
        <f>K143</f>
        <v/>
      </c>
      <c r="S143" s="243" t="n"/>
      <c r="T143" s="249">
        <f>ROUNDUP(IF(Y143=0,0,Y143)*IF(Z143&gt;0,Z143,1)*IF(U143&gt;0,U143,1)*IF(W143&gt;0,W143,1),0)</f>
        <v/>
      </c>
      <c r="U143" s="245">
        <f>M143</f>
        <v/>
      </c>
      <c r="V143" s="243">
        <f>N143</f>
        <v/>
      </c>
      <c r="W143" s="245">
        <f>O143</f>
        <v/>
      </c>
      <c r="X143" s="243">
        <f>P143</f>
        <v/>
      </c>
      <c r="Y143" s="246">
        <f>Q143</f>
        <v/>
      </c>
      <c r="Z143" s="247">
        <f>R143</f>
        <v/>
      </c>
      <c r="AA143" s="243" t="n"/>
      <c r="AB143" s="254" t="n"/>
      <c r="AC143" s="254" t="n"/>
      <c r="AD143" s="254" t="n"/>
      <c r="AE143" s="254" t="n"/>
      <c r="AF143" s="254" t="n"/>
      <c r="AG143" s="255" t="n"/>
      <c r="AH143" s="256" t="n"/>
      <c r="AI143" s="253" t="n"/>
    </row>
    <row r="144" hidden="1" outlineLevel="1" s="592">
      <c r="A144" s="241">
        <f>$A137&amp;"."&amp;7</f>
        <v/>
      </c>
      <c r="B144" s="241" t="n"/>
      <c r="C144" s="255">
        <f>$C$137</f>
        <v/>
      </c>
      <c r="D144" s="243" t="n"/>
      <c r="E144" s="244">
        <f>ROUNDUP(IF(J144=0,0,J144)*IF(K144&gt;0,K144,1)*IF(F144&gt;0,F144,1)*IF(H144&gt;0,H144,1),0)</f>
        <v/>
      </c>
      <c r="F144" s="245" t="n"/>
      <c r="G144" s="243" t="n"/>
      <c r="H144" s="245" t="n"/>
      <c r="I144" s="243" t="n"/>
      <c r="J144" s="246" t="n"/>
      <c r="K144" s="247" t="n"/>
      <c r="L144" s="248">
        <f>ROUNDUP(IF(Q144=0,0,Q144)*IF(R144&gt;0,R144,1)*IF(M144&gt;0,M144,1)*IF(O144&gt;0,O144,1),0)</f>
        <v/>
      </c>
      <c r="M144" s="245">
        <f>F144</f>
        <v/>
      </c>
      <c r="N144" s="243">
        <f>G144</f>
        <v/>
      </c>
      <c r="O144" s="245">
        <f>H144</f>
        <v/>
      </c>
      <c r="P144" s="243">
        <f>I144</f>
        <v/>
      </c>
      <c r="Q144" s="246">
        <f>J144</f>
        <v/>
      </c>
      <c r="R144" s="247">
        <f>K144</f>
        <v/>
      </c>
      <c r="S144" s="243" t="n"/>
      <c r="T144" s="249">
        <f>ROUNDUP(IF(Y144=0,0,Y144)*IF(Z144&gt;0,Z144,1)*IF(U144&gt;0,U144,1)*IF(W144&gt;0,W144,1),0)</f>
        <v/>
      </c>
      <c r="U144" s="245">
        <f>M144</f>
        <v/>
      </c>
      <c r="V144" s="243">
        <f>N144</f>
        <v/>
      </c>
      <c r="W144" s="245">
        <f>O144</f>
        <v/>
      </c>
      <c r="X144" s="243">
        <f>P144</f>
        <v/>
      </c>
      <c r="Y144" s="246">
        <f>Q144</f>
        <v/>
      </c>
      <c r="Z144" s="247">
        <f>R144</f>
        <v/>
      </c>
      <c r="AA144" s="243" t="n"/>
      <c r="AB144" s="254" t="n"/>
      <c r="AC144" s="254" t="n"/>
      <c r="AD144" s="254" t="n"/>
      <c r="AE144" s="254" t="n"/>
      <c r="AF144" s="254" t="n"/>
      <c r="AG144" s="255" t="n"/>
      <c r="AH144" s="256" t="n"/>
      <c r="AI144" s="253" t="n"/>
    </row>
    <row r="145" hidden="1" outlineLevel="1" s="592">
      <c r="A145" s="241">
        <f>$A137&amp;"."&amp;8</f>
        <v/>
      </c>
      <c r="B145" s="241" t="n"/>
      <c r="C145" s="255">
        <f>$C$137</f>
        <v/>
      </c>
      <c r="D145" s="243" t="n"/>
      <c r="E145" s="244">
        <f>ROUNDUP(IF(J145=0,0,J145)*IF(K145&gt;0,K145,1)*IF(F145&gt;0,F145,1)*IF(H145&gt;0,H145,1),0)</f>
        <v/>
      </c>
      <c r="F145" s="245" t="n"/>
      <c r="G145" s="243" t="n"/>
      <c r="H145" s="245" t="n"/>
      <c r="I145" s="243" t="n"/>
      <c r="J145" s="246" t="n"/>
      <c r="K145" s="247" t="n"/>
      <c r="L145" s="248">
        <f>ROUNDUP(IF(Q145=0,0,Q145)*IF(R145&gt;0,R145,1)*IF(M145&gt;0,M145,1)*IF(O145&gt;0,O145,1),0)</f>
        <v/>
      </c>
      <c r="M145" s="245">
        <f>F145</f>
        <v/>
      </c>
      <c r="N145" s="243">
        <f>G145</f>
        <v/>
      </c>
      <c r="O145" s="245">
        <f>H145</f>
        <v/>
      </c>
      <c r="P145" s="243">
        <f>I145</f>
        <v/>
      </c>
      <c r="Q145" s="246">
        <f>J145</f>
        <v/>
      </c>
      <c r="R145" s="247">
        <f>K145</f>
        <v/>
      </c>
      <c r="S145" s="243" t="n"/>
      <c r="T145" s="249">
        <f>ROUNDUP(IF(Y145=0,0,Y145)*IF(Z145&gt;0,Z145,1)*IF(U145&gt;0,U145,1)*IF(W145&gt;0,W145,1),0)</f>
        <v/>
      </c>
      <c r="U145" s="245">
        <f>M145</f>
        <v/>
      </c>
      <c r="V145" s="243">
        <f>N145</f>
        <v/>
      </c>
      <c r="W145" s="245">
        <f>O145</f>
        <v/>
      </c>
      <c r="X145" s="243">
        <f>P145</f>
        <v/>
      </c>
      <c r="Y145" s="246">
        <f>Q145</f>
        <v/>
      </c>
      <c r="Z145" s="247">
        <f>R145</f>
        <v/>
      </c>
      <c r="AA145" s="243" t="n"/>
      <c r="AB145" s="254" t="n"/>
      <c r="AC145" s="254" t="n"/>
      <c r="AD145" s="254" t="n"/>
      <c r="AE145" s="254" t="n"/>
      <c r="AF145" s="254" t="n"/>
      <c r="AG145" s="255" t="n"/>
      <c r="AH145" s="256" t="n"/>
      <c r="AI145" s="253" t="n"/>
    </row>
    <row r="146" hidden="1" outlineLevel="1" s="592">
      <c r="A146" s="241">
        <f>$A137&amp;"."&amp;9</f>
        <v/>
      </c>
      <c r="B146" s="241" t="n"/>
      <c r="C146" s="255">
        <f>$C$137</f>
        <v/>
      </c>
      <c r="D146" s="243" t="n"/>
      <c r="E146" s="244">
        <f>ROUNDUP(IF(J146=0,0,J146)*IF(K146&gt;0,K146,1)*IF(F146&gt;0,F146,1)*IF(H146&gt;0,H146,1),0)</f>
        <v/>
      </c>
      <c r="F146" s="245" t="n"/>
      <c r="G146" s="243" t="n"/>
      <c r="H146" s="245" t="n"/>
      <c r="I146" s="243" t="n"/>
      <c r="J146" s="246" t="n"/>
      <c r="K146" s="247" t="n"/>
      <c r="L146" s="248">
        <f>ROUNDUP(IF(Q146=0,0,Q146)*IF(R146&gt;0,R146,1)*IF(M146&gt;0,M146,1)*IF(O146&gt;0,O146,1),0)</f>
        <v/>
      </c>
      <c r="M146" s="245">
        <f>F146</f>
        <v/>
      </c>
      <c r="N146" s="243">
        <f>G146</f>
        <v/>
      </c>
      <c r="O146" s="245">
        <f>H146</f>
        <v/>
      </c>
      <c r="P146" s="243">
        <f>I146</f>
        <v/>
      </c>
      <c r="Q146" s="246">
        <f>J146</f>
        <v/>
      </c>
      <c r="R146" s="247">
        <f>K146</f>
        <v/>
      </c>
      <c r="S146" s="243" t="n"/>
      <c r="T146" s="249">
        <f>ROUNDUP(IF(Y146=0,0,Y146)*IF(Z146&gt;0,Z146,1)*IF(U146&gt;0,U146,1)*IF(W146&gt;0,W146,1),0)</f>
        <v/>
      </c>
      <c r="U146" s="245">
        <f>M146</f>
        <v/>
      </c>
      <c r="V146" s="243">
        <f>N146</f>
        <v/>
      </c>
      <c r="W146" s="245">
        <f>O146</f>
        <v/>
      </c>
      <c r="X146" s="243">
        <f>P146</f>
        <v/>
      </c>
      <c r="Y146" s="246">
        <f>Q146</f>
        <v/>
      </c>
      <c r="Z146" s="247">
        <f>R146</f>
        <v/>
      </c>
      <c r="AA146" s="243" t="n"/>
      <c r="AB146" s="254" t="n"/>
      <c r="AC146" s="254" t="n"/>
      <c r="AD146" s="254" t="n"/>
      <c r="AE146" s="254" t="n"/>
      <c r="AF146" s="254" t="n"/>
      <c r="AG146" s="255" t="n"/>
      <c r="AH146" s="256" t="n"/>
      <c r="AI146" s="253" t="n"/>
    </row>
    <row r="147" hidden="1" outlineLevel="1" s="592">
      <c r="A147" s="241">
        <f>$A137&amp;"."&amp;10</f>
        <v/>
      </c>
      <c r="B147" s="241" t="n"/>
      <c r="C147" s="255">
        <f>$C$137</f>
        <v/>
      </c>
      <c r="D147" s="243" t="n"/>
      <c r="E147" s="244">
        <f>ROUNDUP(IF(J147=0,0,J147)*IF(K147&gt;0,K147,1)*IF(F147&gt;0,F147,1)*IF(H147&gt;0,H147,1),0)</f>
        <v/>
      </c>
      <c r="F147" s="245" t="n"/>
      <c r="G147" s="243" t="n"/>
      <c r="H147" s="245" t="n"/>
      <c r="I147" s="243" t="n"/>
      <c r="J147" s="246" t="n"/>
      <c r="K147" s="247" t="n"/>
      <c r="L147" s="248">
        <f>ROUNDUP(IF(Q147=0,0,Q147)*IF(R147&gt;0,R147,1)*IF(M147&gt;0,M147,1)*IF(O147&gt;0,O147,1),0)</f>
        <v/>
      </c>
      <c r="M147" s="245">
        <f>F147</f>
        <v/>
      </c>
      <c r="N147" s="243">
        <f>G147</f>
        <v/>
      </c>
      <c r="O147" s="245">
        <f>H147</f>
        <v/>
      </c>
      <c r="P147" s="243">
        <f>I147</f>
        <v/>
      </c>
      <c r="Q147" s="246">
        <f>J147</f>
        <v/>
      </c>
      <c r="R147" s="247">
        <f>K147</f>
        <v/>
      </c>
      <c r="S147" s="243" t="n"/>
      <c r="T147" s="249">
        <f>ROUNDUP(IF(Y147=0,0,Y147)*IF(Z147&gt;0,Z147,1)*IF(U147&gt;0,U147,1)*IF(W147&gt;0,W147,1),0)</f>
        <v/>
      </c>
      <c r="U147" s="245">
        <f>M147</f>
        <v/>
      </c>
      <c r="V147" s="243">
        <f>N147</f>
        <v/>
      </c>
      <c r="W147" s="245">
        <f>O147</f>
        <v/>
      </c>
      <c r="X147" s="243">
        <f>P147</f>
        <v/>
      </c>
      <c r="Y147" s="246">
        <f>Q147</f>
        <v/>
      </c>
      <c r="Z147" s="247">
        <f>R147</f>
        <v/>
      </c>
      <c r="AA147" s="243" t="n"/>
      <c r="AB147" s="254" t="n"/>
      <c r="AC147" s="254" t="n"/>
      <c r="AD147" s="254" t="n"/>
      <c r="AE147" s="254" t="n"/>
      <c r="AF147" s="254" t="n"/>
      <c r="AG147" s="255" t="n"/>
      <c r="AH147" s="256" t="n"/>
      <c r="AI147" s="253" t="n"/>
    </row>
    <row r="148" hidden="1" outlineLevel="1" s="592">
      <c r="A148" s="241">
        <f>$A137&amp;"."&amp;11</f>
        <v/>
      </c>
      <c r="B148" s="241" t="n"/>
      <c r="C148" s="255">
        <f>$C$137</f>
        <v/>
      </c>
      <c r="D148" s="243" t="n"/>
      <c r="E148" s="244">
        <f>ROUNDUP(IF(J148=0,0,J148)*IF(K148&gt;0,K148,1)*IF(F148&gt;0,F148,1)*IF(H148&gt;0,H148,1),0)</f>
        <v/>
      </c>
      <c r="F148" s="245" t="n"/>
      <c r="G148" s="243" t="n"/>
      <c r="H148" s="245" t="n"/>
      <c r="I148" s="243" t="n"/>
      <c r="J148" s="246" t="n"/>
      <c r="K148" s="247" t="n"/>
      <c r="L148" s="248">
        <f>ROUNDUP(IF(Q148=0,0,Q148)*IF(R148&gt;0,R148,1)*IF(M148&gt;0,M148,1)*IF(O148&gt;0,O148,1),0)</f>
        <v/>
      </c>
      <c r="M148" s="245">
        <f>F148</f>
        <v/>
      </c>
      <c r="N148" s="243">
        <f>G148</f>
        <v/>
      </c>
      <c r="O148" s="245">
        <f>H148</f>
        <v/>
      </c>
      <c r="P148" s="243">
        <f>I148</f>
        <v/>
      </c>
      <c r="Q148" s="246">
        <f>J148</f>
        <v/>
      </c>
      <c r="R148" s="247">
        <f>K148</f>
        <v/>
      </c>
      <c r="S148" s="243" t="n"/>
      <c r="T148" s="249">
        <f>ROUNDUP(IF(Y148=0,0,Y148)*IF(Z148&gt;0,Z148,1)*IF(U148&gt;0,U148,1)*IF(W148&gt;0,W148,1),0)</f>
        <v/>
      </c>
      <c r="U148" s="245">
        <f>M148</f>
        <v/>
      </c>
      <c r="V148" s="243">
        <f>N148</f>
        <v/>
      </c>
      <c r="W148" s="245">
        <f>O148</f>
        <v/>
      </c>
      <c r="X148" s="243">
        <f>P148</f>
        <v/>
      </c>
      <c r="Y148" s="246">
        <f>Q148</f>
        <v/>
      </c>
      <c r="Z148" s="247">
        <f>R148</f>
        <v/>
      </c>
      <c r="AA148" s="243" t="n"/>
      <c r="AB148" s="254" t="n"/>
      <c r="AC148" s="254" t="n"/>
      <c r="AD148" s="254" t="n"/>
      <c r="AE148" s="254" t="n"/>
      <c r="AF148" s="254" t="n"/>
      <c r="AG148" s="255" t="n"/>
      <c r="AH148" s="256" t="n"/>
      <c r="AI148" s="253" t="n"/>
    </row>
    <row r="149" hidden="1" outlineLevel="1" s="592">
      <c r="A149" s="241">
        <f>$A137&amp;"."&amp;12</f>
        <v/>
      </c>
      <c r="B149" s="241" t="n"/>
      <c r="C149" s="255">
        <f>$C$137</f>
        <v/>
      </c>
      <c r="D149" s="243" t="n"/>
      <c r="E149" s="244">
        <f>ROUNDUP(IF(J149=0,0,J149)*IF(K149&gt;0,K149,1)*IF(F149&gt;0,F149,1)*IF(H149&gt;0,H149,1),0)</f>
        <v/>
      </c>
      <c r="F149" s="245" t="n"/>
      <c r="G149" s="243" t="n"/>
      <c r="H149" s="245" t="n"/>
      <c r="I149" s="243" t="n"/>
      <c r="J149" s="246" t="n"/>
      <c r="K149" s="247" t="n"/>
      <c r="L149" s="248">
        <f>ROUNDUP(IF(Q149=0,0,Q149)*IF(R149&gt;0,R149,1)*IF(M149&gt;0,M149,1)*IF(O149&gt;0,O149,1),0)</f>
        <v/>
      </c>
      <c r="M149" s="245">
        <f>F149</f>
        <v/>
      </c>
      <c r="N149" s="243">
        <f>G149</f>
        <v/>
      </c>
      <c r="O149" s="245">
        <f>H149</f>
        <v/>
      </c>
      <c r="P149" s="243">
        <f>I149</f>
        <v/>
      </c>
      <c r="Q149" s="246">
        <f>J149</f>
        <v/>
      </c>
      <c r="R149" s="247">
        <f>K149</f>
        <v/>
      </c>
      <c r="S149" s="243" t="n"/>
      <c r="T149" s="249">
        <f>ROUNDUP(IF(Y149=0,0,Y149)*IF(Z149&gt;0,Z149,1)*IF(U149&gt;0,U149,1)*IF(W149&gt;0,W149,1),0)</f>
        <v/>
      </c>
      <c r="U149" s="245">
        <f>M149</f>
        <v/>
      </c>
      <c r="V149" s="243">
        <f>N149</f>
        <v/>
      </c>
      <c r="W149" s="245">
        <f>O149</f>
        <v/>
      </c>
      <c r="X149" s="243">
        <f>P149</f>
        <v/>
      </c>
      <c r="Y149" s="246">
        <f>Q149</f>
        <v/>
      </c>
      <c r="Z149" s="247">
        <f>R149</f>
        <v/>
      </c>
      <c r="AA149" s="243" t="n"/>
      <c r="AB149" s="254" t="n"/>
      <c r="AC149" s="254" t="n"/>
      <c r="AD149" s="254" t="n"/>
      <c r="AE149" s="254" t="n"/>
      <c r="AF149" s="254" t="n"/>
      <c r="AG149" s="255" t="n"/>
      <c r="AH149" s="256" t="n"/>
      <c r="AI149" s="253" t="n"/>
    </row>
    <row r="150" hidden="1" outlineLevel="1" s="592">
      <c r="A150" s="241">
        <f>$A137&amp;"."&amp;13</f>
        <v/>
      </c>
      <c r="B150" s="241" t="n"/>
      <c r="C150" s="255">
        <f>$C$137</f>
        <v/>
      </c>
      <c r="D150" s="243" t="n"/>
      <c r="E150" s="244">
        <f>ROUNDUP(IF(J150=0,0,J150)*IF(K150&gt;0,K150,1)*IF(F150&gt;0,F150,1)*IF(H150&gt;0,H150,1),0)</f>
        <v/>
      </c>
      <c r="F150" s="245" t="n"/>
      <c r="G150" s="243" t="n"/>
      <c r="H150" s="245" t="n"/>
      <c r="I150" s="243" t="n"/>
      <c r="J150" s="246" t="n"/>
      <c r="K150" s="247" t="n"/>
      <c r="L150" s="248">
        <f>ROUNDUP(IF(Q150=0,0,Q150)*IF(R150&gt;0,R150,1)*IF(M150&gt;0,M150,1)*IF(O150&gt;0,O150,1),0)</f>
        <v/>
      </c>
      <c r="M150" s="245">
        <f>F150</f>
        <v/>
      </c>
      <c r="N150" s="243">
        <f>G150</f>
        <v/>
      </c>
      <c r="O150" s="245">
        <f>H150</f>
        <v/>
      </c>
      <c r="P150" s="243">
        <f>I150</f>
        <v/>
      </c>
      <c r="Q150" s="246">
        <f>J150</f>
        <v/>
      </c>
      <c r="R150" s="247">
        <f>K150</f>
        <v/>
      </c>
      <c r="S150" s="243" t="n"/>
      <c r="T150" s="249">
        <f>ROUNDUP(IF(Y150=0,0,Y150)*IF(Z150&gt;0,Z150,1)*IF(U150&gt;0,U150,1)*IF(W150&gt;0,W150,1),0)</f>
        <v/>
      </c>
      <c r="U150" s="245">
        <f>M150</f>
        <v/>
      </c>
      <c r="V150" s="243">
        <f>N150</f>
        <v/>
      </c>
      <c r="W150" s="245">
        <f>O150</f>
        <v/>
      </c>
      <c r="X150" s="243">
        <f>P150</f>
        <v/>
      </c>
      <c r="Y150" s="246">
        <f>Q150</f>
        <v/>
      </c>
      <c r="Z150" s="247">
        <f>R150</f>
        <v/>
      </c>
      <c r="AA150" s="243" t="n"/>
      <c r="AB150" s="254" t="n"/>
      <c r="AC150" s="254" t="n"/>
      <c r="AD150" s="254" t="n"/>
      <c r="AE150" s="254" t="n"/>
      <c r="AF150" s="254" t="n"/>
      <c r="AG150" s="255" t="n"/>
      <c r="AH150" s="256" t="n"/>
      <c r="AI150" s="253" t="n"/>
    </row>
    <row r="151" hidden="1" outlineLevel="1" s="592">
      <c r="A151" s="241">
        <f>$A137&amp;"."&amp;14</f>
        <v/>
      </c>
      <c r="B151" s="241" t="n"/>
      <c r="C151" s="255">
        <f>$C$137</f>
        <v/>
      </c>
      <c r="D151" s="243" t="n"/>
      <c r="E151" s="244">
        <f>ROUNDUP(IF(J151=0,0,J151)*IF(K151&gt;0,K151,1)*IF(F151&gt;0,F151,1)*IF(H151&gt;0,H151,1),0)</f>
        <v/>
      </c>
      <c r="F151" s="245" t="n"/>
      <c r="G151" s="243" t="n"/>
      <c r="H151" s="245" t="n"/>
      <c r="I151" s="243" t="n"/>
      <c r="J151" s="246" t="n"/>
      <c r="K151" s="247" t="n"/>
      <c r="L151" s="248">
        <f>ROUNDUP(IF(Q151=0,0,Q151)*IF(R151&gt;0,R151,1)*IF(M151&gt;0,M151,1)*IF(O151&gt;0,O151,1),0)</f>
        <v/>
      </c>
      <c r="M151" s="245">
        <f>F151</f>
        <v/>
      </c>
      <c r="N151" s="243">
        <f>G151</f>
        <v/>
      </c>
      <c r="O151" s="245">
        <f>H151</f>
        <v/>
      </c>
      <c r="P151" s="243">
        <f>I151</f>
        <v/>
      </c>
      <c r="Q151" s="246">
        <f>J151</f>
        <v/>
      </c>
      <c r="R151" s="247">
        <f>K151</f>
        <v/>
      </c>
      <c r="S151" s="243" t="n"/>
      <c r="T151" s="249">
        <f>ROUNDUP(IF(Y151=0,0,Y151)*IF(Z151&gt;0,Z151,1)*IF(U151&gt;0,U151,1)*IF(W151&gt;0,W151,1),0)</f>
        <v/>
      </c>
      <c r="U151" s="245">
        <f>M151</f>
        <v/>
      </c>
      <c r="V151" s="243">
        <f>N151</f>
        <v/>
      </c>
      <c r="W151" s="245">
        <f>O151</f>
        <v/>
      </c>
      <c r="X151" s="243">
        <f>P151</f>
        <v/>
      </c>
      <c r="Y151" s="246">
        <f>Q151</f>
        <v/>
      </c>
      <c r="Z151" s="247">
        <f>R151</f>
        <v/>
      </c>
      <c r="AA151" s="243" t="n"/>
      <c r="AB151" s="254" t="n"/>
      <c r="AC151" s="254" t="n"/>
      <c r="AD151" s="254" t="n"/>
      <c r="AE151" s="254" t="n"/>
      <c r="AF151" s="254" t="n"/>
      <c r="AG151" s="255" t="n"/>
      <c r="AH151" s="256" t="n"/>
      <c r="AI151" s="253" t="n"/>
    </row>
    <row r="152" hidden="1" outlineLevel="1" s="592">
      <c r="A152" s="241">
        <f>$A137&amp;"."&amp;15</f>
        <v/>
      </c>
      <c r="B152" s="241" t="n"/>
      <c r="C152" s="255">
        <f>$C$137</f>
        <v/>
      </c>
      <c r="D152" s="243" t="n"/>
      <c r="E152" s="244">
        <f>ROUNDUP(IF(J152=0,0,J152)*IF(K152&gt;0,K152,1)*IF(F152&gt;0,F152,1)*IF(H152&gt;0,H152,1),0)</f>
        <v/>
      </c>
      <c r="F152" s="245" t="n"/>
      <c r="G152" s="243" t="n"/>
      <c r="H152" s="245" t="n"/>
      <c r="I152" s="243" t="n"/>
      <c r="J152" s="246" t="n"/>
      <c r="K152" s="247" t="n"/>
      <c r="L152" s="248">
        <f>ROUNDUP(IF(Q152=0,0,Q152)*IF(R152&gt;0,R152,1)*IF(M152&gt;0,M152,1)*IF(O152&gt;0,O152,1),0)</f>
        <v/>
      </c>
      <c r="M152" s="245">
        <f>F152</f>
        <v/>
      </c>
      <c r="N152" s="243">
        <f>G152</f>
        <v/>
      </c>
      <c r="O152" s="245">
        <f>H152</f>
        <v/>
      </c>
      <c r="P152" s="243">
        <f>I152</f>
        <v/>
      </c>
      <c r="Q152" s="246">
        <f>J152</f>
        <v/>
      </c>
      <c r="R152" s="247">
        <f>K152</f>
        <v/>
      </c>
      <c r="S152" s="243" t="n"/>
      <c r="T152" s="249">
        <f>ROUNDUP(IF(Y152=0,0,Y152)*IF(Z152&gt;0,Z152,1)*IF(U152&gt;0,U152,1)*IF(W152&gt;0,W152,1),0)</f>
        <v/>
      </c>
      <c r="U152" s="245">
        <f>M152</f>
        <v/>
      </c>
      <c r="V152" s="243">
        <f>N152</f>
        <v/>
      </c>
      <c r="W152" s="245">
        <f>O152</f>
        <v/>
      </c>
      <c r="X152" s="243">
        <f>P152</f>
        <v/>
      </c>
      <c r="Y152" s="246">
        <f>Q152</f>
        <v/>
      </c>
      <c r="Z152" s="247">
        <f>R152</f>
        <v/>
      </c>
      <c r="AA152" s="243" t="n"/>
      <c r="AB152" s="254" t="n"/>
      <c r="AC152" s="254" t="n"/>
      <c r="AD152" s="254" t="n"/>
      <c r="AE152" s="254" t="n"/>
      <c r="AF152" s="254" t="n"/>
      <c r="AG152" s="255" t="n"/>
      <c r="AH152" s="256" t="n"/>
      <c r="AI152" s="253" t="n"/>
    </row>
    <row r="153" hidden="1" outlineLevel="1" s="592">
      <c r="A153" s="241">
        <f>$A137&amp;"."&amp;16</f>
        <v/>
      </c>
      <c r="B153" s="241" t="n"/>
      <c r="C153" s="255">
        <f>$C$137</f>
        <v/>
      </c>
      <c r="D153" s="243" t="n"/>
      <c r="E153" s="244">
        <f>ROUNDUP(IF(J153=0,0,J153)*IF(K153&gt;0,K153,1)*IF(F153&gt;0,F153,1)*IF(H153&gt;0,H153,1),0)</f>
        <v/>
      </c>
      <c r="F153" s="245" t="n"/>
      <c r="G153" s="243" t="n"/>
      <c r="H153" s="245" t="n"/>
      <c r="I153" s="243" t="n"/>
      <c r="J153" s="246" t="n"/>
      <c r="K153" s="247" t="n"/>
      <c r="L153" s="248">
        <f>ROUNDUP(IF(Q153=0,0,Q153)*IF(R153&gt;0,R153,1)*IF(M153&gt;0,M153,1)*IF(O153&gt;0,O153,1),0)</f>
        <v/>
      </c>
      <c r="M153" s="245">
        <f>F153</f>
        <v/>
      </c>
      <c r="N153" s="243">
        <f>G153</f>
        <v/>
      </c>
      <c r="O153" s="245">
        <f>H153</f>
        <v/>
      </c>
      <c r="P153" s="243">
        <f>I153</f>
        <v/>
      </c>
      <c r="Q153" s="246">
        <f>J153</f>
        <v/>
      </c>
      <c r="R153" s="247">
        <f>K153</f>
        <v/>
      </c>
      <c r="S153" s="243" t="n"/>
      <c r="T153" s="249">
        <f>ROUNDUP(IF(Y153=0,0,Y153)*IF(Z153&gt;0,Z153,1)*IF(U153&gt;0,U153,1)*IF(W153&gt;0,W153,1),0)</f>
        <v/>
      </c>
      <c r="U153" s="245">
        <f>M153</f>
        <v/>
      </c>
      <c r="V153" s="243">
        <f>N153</f>
        <v/>
      </c>
      <c r="W153" s="245">
        <f>O153</f>
        <v/>
      </c>
      <c r="X153" s="243">
        <f>P153</f>
        <v/>
      </c>
      <c r="Y153" s="246">
        <f>Q153</f>
        <v/>
      </c>
      <c r="Z153" s="247">
        <f>R153</f>
        <v/>
      </c>
      <c r="AA153" s="243" t="n"/>
      <c r="AB153" s="254" t="n"/>
      <c r="AC153" s="254" t="n"/>
      <c r="AD153" s="254" t="n"/>
      <c r="AE153" s="254" t="n"/>
      <c r="AF153" s="254" t="n"/>
      <c r="AG153" s="255" t="n"/>
      <c r="AH153" s="256" t="n"/>
      <c r="AI153" s="253" t="n"/>
    </row>
    <row r="154" hidden="1" outlineLevel="1" s="592">
      <c r="A154" s="241">
        <f>$A137&amp;"."&amp;17</f>
        <v/>
      </c>
      <c r="B154" s="241" t="n"/>
      <c r="C154" s="255">
        <f>$C$137</f>
        <v/>
      </c>
      <c r="D154" s="243" t="n"/>
      <c r="E154" s="244">
        <f>ROUNDUP(IF(J154=0,0,J154)*IF(K154&gt;0,K154,1)*IF(F154&gt;0,F154,1)*IF(H154&gt;0,H154,1),0)</f>
        <v/>
      </c>
      <c r="F154" s="245" t="n"/>
      <c r="G154" s="243" t="n"/>
      <c r="H154" s="245" t="n"/>
      <c r="I154" s="243" t="n"/>
      <c r="J154" s="246" t="n"/>
      <c r="K154" s="247" t="n"/>
      <c r="L154" s="248">
        <f>ROUNDUP(IF(Q154=0,0,Q154)*IF(R154&gt;0,R154,1)*IF(M154&gt;0,M154,1)*IF(O154&gt;0,O154,1),0)</f>
        <v/>
      </c>
      <c r="M154" s="245">
        <f>F154</f>
        <v/>
      </c>
      <c r="N154" s="243">
        <f>G154</f>
        <v/>
      </c>
      <c r="O154" s="245">
        <f>H154</f>
        <v/>
      </c>
      <c r="P154" s="243">
        <f>I154</f>
        <v/>
      </c>
      <c r="Q154" s="246">
        <f>J154</f>
        <v/>
      </c>
      <c r="R154" s="247">
        <f>K154</f>
        <v/>
      </c>
      <c r="S154" s="243" t="n"/>
      <c r="T154" s="249">
        <f>ROUNDUP(IF(Y154=0,0,Y154)*IF(Z154&gt;0,Z154,1)*IF(U154&gt;0,U154,1)*IF(W154&gt;0,W154,1),0)</f>
        <v/>
      </c>
      <c r="U154" s="245">
        <f>M154</f>
        <v/>
      </c>
      <c r="V154" s="243">
        <f>N154</f>
        <v/>
      </c>
      <c r="W154" s="245">
        <f>O154</f>
        <v/>
      </c>
      <c r="X154" s="243">
        <f>P154</f>
        <v/>
      </c>
      <c r="Y154" s="246">
        <f>Q154</f>
        <v/>
      </c>
      <c r="Z154" s="247">
        <f>R154</f>
        <v/>
      </c>
      <c r="AA154" s="243" t="n"/>
      <c r="AB154" s="254" t="n"/>
      <c r="AC154" s="254" t="n"/>
      <c r="AD154" s="254" t="n"/>
      <c r="AE154" s="254" t="n"/>
      <c r="AF154" s="254" t="n"/>
      <c r="AG154" s="255" t="n"/>
      <c r="AH154" s="256" t="n"/>
      <c r="AI154" s="253" t="n"/>
    </row>
    <row r="155" hidden="1" outlineLevel="1" s="592">
      <c r="A155" s="241">
        <f>$A137&amp;"."&amp;18</f>
        <v/>
      </c>
      <c r="B155" s="241" t="n"/>
      <c r="C155" s="255">
        <f>$C$137</f>
        <v/>
      </c>
      <c r="D155" s="243" t="n"/>
      <c r="E155" s="244">
        <f>ROUNDUP(IF(J155=0,0,J155)*IF(K155&gt;0,K155,1)*IF(F155&gt;0,F155,1)*IF(H155&gt;0,H155,1),0)</f>
        <v/>
      </c>
      <c r="F155" s="245" t="n"/>
      <c r="G155" s="243" t="n"/>
      <c r="H155" s="245" t="n"/>
      <c r="I155" s="243" t="n"/>
      <c r="J155" s="246" t="n"/>
      <c r="K155" s="247" t="n"/>
      <c r="L155" s="248">
        <f>ROUNDUP(IF(Q155=0,0,Q155)*IF(R155&gt;0,R155,1)*IF(M155&gt;0,M155,1)*IF(O155&gt;0,O155,1),0)</f>
        <v/>
      </c>
      <c r="M155" s="245">
        <f>F155</f>
        <v/>
      </c>
      <c r="N155" s="243">
        <f>G155</f>
        <v/>
      </c>
      <c r="O155" s="245">
        <f>H155</f>
        <v/>
      </c>
      <c r="P155" s="243">
        <f>I155</f>
        <v/>
      </c>
      <c r="Q155" s="246">
        <f>J155</f>
        <v/>
      </c>
      <c r="R155" s="247">
        <f>K155</f>
        <v/>
      </c>
      <c r="S155" s="243" t="n"/>
      <c r="T155" s="249">
        <f>ROUNDUP(IF(Y155=0,0,Y155)*IF(Z155&gt;0,Z155,1)*IF(U155&gt;0,U155,1)*IF(W155&gt;0,W155,1),0)</f>
        <v/>
      </c>
      <c r="U155" s="245">
        <f>M155</f>
        <v/>
      </c>
      <c r="V155" s="243">
        <f>N155</f>
        <v/>
      </c>
      <c r="W155" s="245">
        <f>O155</f>
        <v/>
      </c>
      <c r="X155" s="243">
        <f>P155</f>
        <v/>
      </c>
      <c r="Y155" s="246">
        <f>Q155</f>
        <v/>
      </c>
      <c r="Z155" s="247">
        <f>R155</f>
        <v/>
      </c>
      <c r="AA155" s="243" t="n"/>
      <c r="AB155" s="254" t="n"/>
      <c r="AC155" s="254" t="n"/>
      <c r="AD155" s="254" t="n"/>
      <c r="AE155" s="254" t="n"/>
      <c r="AF155" s="254" t="n"/>
      <c r="AG155" s="255" t="n"/>
      <c r="AH155" s="256" t="n"/>
      <c r="AI155" s="253" t="n"/>
    </row>
    <row r="156" hidden="1" outlineLevel="1" s="592">
      <c r="A156" s="241">
        <f>$A137&amp;"."&amp;19</f>
        <v/>
      </c>
      <c r="B156" s="241" t="n"/>
      <c r="C156" s="255">
        <f>$C$137</f>
        <v/>
      </c>
      <c r="D156" s="243" t="n"/>
      <c r="E156" s="244">
        <f>ROUNDUP(IF(J156=0,0,J156)*IF(K156&gt;0,K156,1)*IF(F156&gt;0,F156,1)*IF(H156&gt;0,H156,1),0)</f>
        <v/>
      </c>
      <c r="F156" s="245" t="n"/>
      <c r="G156" s="243" t="n"/>
      <c r="H156" s="245" t="n"/>
      <c r="I156" s="243" t="n"/>
      <c r="J156" s="246" t="n"/>
      <c r="K156" s="247" t="n"/>
      <c r="L156" s="248">
        <f>ROUNDUP(IF(Q156=0,0,Q156)*IF(R156&gt;0,R156,1)*IF(M156&gt;0,M156,1)*IF(O156&gt;0,O156,1),0)</f>
        <v/>
      </c>
      <c r="M156" s="245">
        <f>F156</f>
        <v/>
      </c>
      <c r="N156" s="243">
        <f>G156</f>
        <v/>
      </c>
      <c r="O156" s="245">
        <f>H156</f>
        <v/>
      </c>
      <c r="P156" s="243">
        <f>I156</f>
        <v/>
      </c>
      <c r="Q156" s="246">
        <f>J156</f>
        <v/>
      </c>
      <c r="R156" s="247">
        <f>K156</f>
        <v/>
      </c>
      <c r="S156" s="243" t="n"/>
      <c r="T156" s="249">
        <f>ROUNDUP(IF(Y156=0,0,Y156)*IF(Z156&gt;0,Z156,1)*IF(U156&gt;0,U156,1)*IF(W156&gt;0,W156,1),0)</f>
        <v/>
      </c>
      <c r="U156" s="245">
        <f>M156</f>
        <v/>
      </c>
      <c r="V156" s="243">
        <f>N156</f>
        <v/>
      </c>
      <c r="W156" s="245">
        <f>O156</f>
        <v/>
      </c>
      <c r="X156" s="243">
        <f>P156</f>
        <v/>
      </c>
      <c r="Y156" s="246">
        <f>Q156</f>
        <v/>
      </c>
      <c r="Z156" s="247">
        <f>R156</f>
        <v/>
      </c>
      <c r="AA156" s="243" t="n"/>
      <c r="AB156" s="254" t="n"/>
      <c r="AC156" s="254" t="n"/>
      <c r="AD156" s="254" t="n"/>
      <c r="AE156" s="254" t="n"/>
      <c r="AF156" s="254" t="n"/>
      <c r="AG156" s="255" t="n"/>
      <c r="AH156" s="256" t="n"/>
      <c r="AI156" s="253" t="n"/>
    </row>
    <row r="157" hidden="1" outlineLevel="1" s="592">
      <c r="A157" s="241">
        <f>$A137&amp;"."&amp;20</f>
        <v/>
      </c>
      <c r="B157" s="241" t="n"/>
      <c r="C157" s="255">
        <f>$C$137</f>
        <v/>
      </c>
      <c r="D157" s="243" t="n"/>
      <c r="E157" s="244">
        <f>ROUNDUP(IF(J157=0,0,J157)*IF(K157&gt;0,K157,1)*IF(F157&gt;0,F157,1)*IF(H157&gt;0,H157,1),0)</f>
        <v/>
      </c>
      <c r="F157" s="245" t="n"/>
      <c r="G157" s="243" t="n"/>
      <c r="H157" s="245" t="n"/>
      <c r="I157" s="243" t="n"/>
      <c r="J157" s="246" t="n"/>
      <c r="K157" s="247" t="n"/>
      <c r="L157" s="248">
        <f>ROUNDUP(IF(Q157=0,0,Q157)*IF(R157&gt;0,R157,1)*IF(M157&gt;0,M157,1)*IF(O157&gt;0,O157,1),0)</f>
        <v/>
      </c>
      <c r="M157" s="245">
        <f>F157</f>
        <v/>
      </c>
      <c r="N157" s="243">
        <f>G157</f>
        <v/>
      </c>
      <c r="O157" s="245">
        <f>H157</f>
        <v/>
      </c>
      <c r="P157" s="243">
        <f>I157</f>
        <v/>
      </c>
      <c r="Q157" s="246">
        <f>J157</f>
        <v/>
      </c>
      <c r="R157" s="247">
        <f>K157</f>
        <v/>
      </c>
      <c r="S157" s="243" t="n"/>
      <c r="T157" s="249">
        <f>ROUNDUP(IF(Y157=0,0,Y157)*IF(Z157&gt;0,Z157,1)*IF(U157&gt;0,U157,1)*IF(W157&gt;0,W157,1),0)</f>
        <v/>
      </c>
      <c r="U157" s="245">
        <f>M157</f>
        <v/>
      </c>
      <c r="V157" s="243">
        <f>N157</f>
        <v/>
      </c>
      <c r="W157" s="245">
        <f>O157</f>
        <v/>
      </c>
      <c r="X157" s="243">
        <f>P157</f>
        <v/>
      </c>
      <c r="Y157" s="246">
        <f>Q157</f>
        <v/>
      </c>
      <c r="Z157" s="247">
        <f>R157</f>
        <v/>
      </c>
      <c r="AA157" s="243" t="n"/>
      <c r="AB157" s="254" t="n"/>
      <c r="AC157" s="254" t="n"/>
      <c r="AD157" s="254" t="n"/>
      <c r="AE157" s="254" t="n"/>
      <c r="AF157" s="254" t="n"/>
      <c r="AG157" s="255" t="n"/>
      <c r="AH157" s="256" t="n"/>
      <c r="AI157" s="253" t="n"/>
    </row>
    <row r="158" collapsed="1" s="592">
      <c r="A158" s="257" t="n">
        <v>8</v>
      </c>
      <c r="B158" s="257">
        <f>IFERROR(__xludf.DUMMYFUNCTION("vlookup(C158,IMPORTRANGE(REF!$B$3,""FP!B:C""),2,0)"),"#N/A")</f>
        <v/>
      </c>
      <c r="C158" s="237" t="inlineStr">
        <is>
          <t>ชื่อกิจกรรมที่ 8</t>
        </is>
      </c>
      <c r="D158" s="232" t="n"/>
      <c r="E158" s="233">
        <f>SUM(E159:E178)</f>
        <v/>
      </c>
      <c r="F158" s="234" t="n"/>
      <c r="G158" s="235" t="n"/>
      <c r="H158" s="234" t="n"/>
      <c r="I158" s="235" t="n"/>
      <c r="J158" s="233" t="n"/>
      <c r="K158" s="236" t="n"/>
      <c r="L158" s="233">
        <f>SUM(L159:L178)</f>
        <v/>
      </c>
      <c r="M158" s="234" t="n"/>
      <c r="N158" s="235" t="n"/>
      <c r="O158" s="234" t="n"/>
      <c r="P158" s="235" t="n"/>
      <c r="Q158" s="233" t="n"/>
      <c r="R158" s="236" t="n"/>
      <c r="S158" s="235" t="n"/>
      <c r="T158" s="233">
        <f>SUM(T159:T178)</f>
        <v/>
      </c>
      <c r="U158" s="234" t="n"/>
      <c r="V158" s="235" t="n"/>
      <c r="W158" s="234" t="n"/>
      <c r="X158" s="235" t="n"/>
      <c r="Y158" s="233" t="n"/>
      <c r="Z158" s="236" t="n"/>
      <c r="AA158" s="235" t="n"/>
      <c r="AB158" s="237" t="n"/>
      <c r="AC158" s="237" t="n"/>
      <c r="AD158" s="237" t="n"/>
      <c r="AE158" s="237" t="n"/>
      <c r="AF158" s="237" t="n"/>
      <c r="AG158" s="238" t="b">
        <v>0</v>
      </c>
      <c r="AH158" s="239" t="n"/>
      <c r="AI158" s="253" t="n"/>
    </row>
    <row r="159" hidden="1" outlineLevel="1" s="592">
      <c r="A159" s="241">
        <f>$A158&amp;"."&amp;1</f>
        <v/>
      </c>
      <c r="B159" s="241" t="n"/>
      <c r="C159" s="255">
        <f>$C$158</f>
        <v/>
      </c>
      <c r="D159" s="243" t="n"/>
      <c r="E159" s="244">
        <f>ROUNDUP(IF(J159=0,0,J159)*IF(K159&gt;0,K159,1)*IF(F159&gt;0,F159,1)*IF(H159&gt;0,H159,1),0)</f>
        <v/>
      </c>
      <c r="F159" s="245" t="n"/>
      <c r="G159" s="243" t="n"/>
      <c r="H159" s="245" t="n"/>
      <c r="I159" s="243" t="n"/>
      <c r="J159" s="246" t="n"/>
      <c r="K159" s="247" t="n"/>
      <c r="L159" s="248">
        <f>ROUNDUP(IF(Q159=0,0,Q159)*IF(R159&gt;0,R159,1)*IF(M159&gt;0,M159,1)*IF(O159&gt;0,O159,1),0)</f>
        <v/>
      </c>
      <c r="M159" s="245">
        <f>F159</f>
        <v/>
      </c>
      <c r="N159" s="243">
        <f>G159</f>
        <v/>
      </c>
      <c r="O159" s="245">
        <f>H159</f>
        <v/>
      </c>
      <c r="P159" s="243">
        <f>I159</f>
        <v/>
      </c>
      <c r="Q159" s="246">
        <f>J159</f>
        <v/>
      </c>
      <c r="R159" s="247">
        <f>K159</f>
        <v/>
      </c>
      <c r="S159" s="243" t="n"/>
      <c r="T159" s="249">
        <f>ROUNDUP(IF(Y159=0,0,Y159)*IF(Z159&gt;0,Z159,1)*IF(U159&gt;0,U159,1)*IF(W159&gt;0,W159,1),0)</f>
        <v/>
      </c>
      <c r="U159" s="245">
        <f>M159</f>
        <v/>
      </c>
      <c r="V159" s="243">
        <f>N159</f>
        <v/>
      </c>
      <c r="W159" s="245">
        <f>O159</f>
        <v/>
      </c>
      <c r="X159" s="243">
        <f>P159</f>
        <v/>
      </c>
      <c r="Y159" s="246">
        <f>Q159</f>
        <v/>
      </c>
      <c r="Z159" s="247">
        <f>R159</f>
        <v/>
      </c>
      <c r="AA159" s="243" t="n"/>
      <c r="AB159" s="254" t="n"/>
      <c r="AC159" s="254" t="n"/>
      <c r="AD159" s="254" t="n"/>
      <c r="AE159" s="254" t="n"/>
      <c r="AF159" s="254" t="n"/>
      <c r="AG159" s="255" t="n"/>
      <c r="AH159" s="256" t="n"/>
      <c r="AI159" s="253" t="n"/>
    </row>
    <row r="160" hidden="1" outlineLevel="1" s="592">
      <c r="A160" s="241">
        <f>$A158&amp;"."&amp;2</f>
        <v/>
      </c>
      <c r="B160" s="241" t="n"/>
      <c r="C160" s="255">
        <f>$C$158</f>
        <v/>
      </c>
      <c r="D160" s="243" t="n"/>
      <c r="E160" s="244">
        <f>ROUNDUP(IF(J160=0,0,J160)*IF(K160&gt;0,K160,1)*IF(F160&gt;0,F160,1)*IF(H160&gt;0,H160,1),0)</f>
        <v/>
      </c>
      <c r="F160" s="245" t="n"/>
      <c r="G160" s="243" t="n"/>
      <c r="H160" s="245" t="n"/>
      <c r="I160" s="243" t="n"/>
      <c r="J160" s="246" t="n"/>
      <c r="K160" s="247" t="n"/>
      <c r="L160" s="248">
        <f>ROUNDUP(IF(Q160=0,0,Q160)*IF(R160&gt;0,R160,1)*IF(M160&gt;0,M160,1)*IF(O160&gt;0,O160,1),0)</f>
        <v/>
      </c>
      <c r="M160" s="245">
        <f>F160</f>
        <v/>
      </c>
      <c r="N160" s="243">
        <f>G160</f>
        <v/>
      </c>
      <c r="O160" s="245">
        <f>H160</f>
        <v/>
      </c>
      <c r="P160" s="243">
        <f>I160</f>
        <v/>
      </c>
      <c r="Q160" s="246">
        <f>J160</f>
        <v/>
      </c>
      <c r="R160" s="247">
        <f>K160</f>
        <v/>
      </c>
      <c r="S160" s="243" t="n"/>
      <c r="T160" s="249">
        <f>ROUNDUP(IF(Y160=0,0,Y160)*IF(Z160&gt;0,Z160,1)*IF(U160&gt;0,U160,1)*IF(W160&gt;0,W160,1),0)</f>
        <v/>
      </c>
      <c r="U160" s="245">
        <f>M160</f>
        <v/>
      </c>
      <c r="V160" s="243">
        <f>N160</f>
        <v/>
      </c>
      <c r="W160" s="245">
        <f>O160</f>
        <v/>
      </c>
      <c r="X160" s="243">
        <f>P160</f>
        <v/>
      </c>
      <c r="Y160" s="246">
        <f>Q160</f>
        <v/>
      </c>
      <c r="Z160" s="247">
        <f>R160</f>
        <v/>
      </c>
      <c r="AA160" s="243" t="n"/>
      <c r="AB160" s="254" t="n"/>
      <c r="AC160" s="254" t="n"/>
      <c r="AD160" s="254" t="n"/>
      <c r="AE160" s="254" t="n"/>
      <c r="AF160" s="254" t="n"/>
      <c r="AG160" s="255" t="n"/>
      <c r="AH160" s="256" t="n"/>
      <c r="AI160" s="253" t="n"/>
    </row>
    <row r="161" hidden="1" outlineLevel="1" s="592">
      <c r="A161" s="241">
        <f>$A158&amp;"."&amp;3</f>
        <v/>
      </c>
      <c r="B161" s="241" t="n"/>
      <c r="C161" s="255">
        <f>$C$158</f>
        <v/>
      </c>
      <c r="D161" s="243" t="n"/>
      <c r="E161" s="244">
        <f>ROUNDUP(IF(J161=0,0,J161)*IF(K161&gt;0,K161,1)*IF(F161&gt;0,F161,1)*IF(H161&gt;0,H161,1),0)</f>
        <v/>
      </c>
      <c r="F161" s="245" t="n"/>
      <c r="G161" s="243" t="n"/>
      <c r="H161" s="245" t="n"/>
      <c r="I161" s="243" t="n"/>
      <c r="J161" s="246" t="n"/>
      <c r="K161" s="247" t="n"/>
      <c r="L161" s="248">
        <f>ROUNDUP(IF(Q161=0,0,Q161)*IF(R161&gt;0,R161,1)*IF(M161&gt;0,M161,1)*IF(O161&gt;0,O161,1),0)</f>
        <v/>
      </c>
      <c r="M161" s="245">
        <f>F161</f>
        <v/>
      </c>
      <c r="N161" s="243">
        <f>G161</f>
        <v/>
      </c>
      <c r="O161" s="245">
        <f>H161</f>
        <v/>
      </c>
      <c r="P161" s="243">
        <f>I161</f>
        <v/>
      </c>
      <c r="Q161" s="246">
        <f>J161</f>
        <v/>
      </c>
      <c r="R161" s="247">
        <f>K161</f>
        <v/>
      </c>
      <c r="S161" s="243" t="n"/>
      <c r="T161" s="249">
        <f>ROUNDUP(IF(Y161=0,0,Y161)*IF(Z161&gt;0,Z161,1)*IF(U161&gt;0,U161,1)*IF(W161&gt;0,W161,1),0)</f>
        <v/>
      </c>
      <c r="U161" s="245">
        <f>M161</f>
        <v/>
      </c>
      <c r="V161" s="243">
        <f>N161</f>
        <v/>
      </c>
      <c r="W161" s="245">
        <f>O161</f>
        <v/>
      </c>
      <c r="X161" s="243">
        <f>P161</f>
        <v/>
      </c>
      <c r="Y161" s="246">
        <f>Q161</f>
        <v/>
      </c>
      <c r="Z161" s="247">
        <f>R161</f>
        <v/>
      </c>
      <c r="AA161" s="243" t="n"/>
      <c r="AB161" s="254" t="n"/>
      <c r="AC161" s="254" t="n"/>
      <c r="AD161" s="254" t="n"/>
      <c r="AE161" s="254" t="n"/>
      <c r="AF161" s="254" t="n"/>
      <c r="AG161" s="255" t="n"/>
      <c r="AH161" s="256" t="n"/>
      <c r="AI161" s="253" t="n"/>
    </row>
    <row r="162" hidden="1" outlineLevel="1" s="592">
      <c r="A162" s="241">
        <f>$A158&amp;"."&amp;4</f>
        <v/>
      </c>
      <c r="B162" s="241" t="n"/>
      <c r="C162" s="255">
        <f>$C$158</f>
        <v/>
      </c>
      <c r="D162" s="243" t="n"/>
      <c r="E162" s="244">
        <f>ROUNDUP(IF(J162=0,0,J162)*IF(K162&gt;0,K162,1)*IF(F162&gt;0,F162,1)*IF(H162&gt;0,H162,1),0)</f>
        <v/>
      </c>
      <c r="F162" s="245" t="n"/>
      <c r="G162" s="243" t="n"/>
      <c r="H162" s="245" t="n"/>
      <c r="I162" s="243" t="n"/>
      <c r="J162" s="246" t="n"/>
      <c r="K162" s="247" t="n"/>
      <c r="L162" s="248">
        <f>ROUNDUP(IF(Q162=0,0,Q162)*IF(R162&gt;0,R162,1)*IF(M162&gt;0,M162,1)*IF(O162&gt;0,O162,1),0)</f>
        <v/>
      </c>
      <c r="M162" s="245">
        <f>F162</f>
        <v/>
      </c>
      <c r="N162" s="243">
        <f>G162</f>
        <v/>
      </c>
      <c r="O162" s="245">
        <f>H162</f>
        <v/>
      </c>
      <c r="P162" s="243">
        <f>I162</f>
        <v/>
      </c>
      <c r="Q162" s="246">
        <f>J162</f>
        <v/>
      </c>
      <c r="R162" s="247">
        <f>K162</f>
        <v/>
      </c>
      <c r="S162" s="243" t="n"/>
      <c r="T162" s="249">
        <f>ROUNDUP(IF(Y162=0,0,Y162)*IF(Z162&gt;0,Z162,1)*IF(U162&gt;0,U162,1)*IF(W162&gt;0,W162,1),0)</f>
        <v/>
      </c>
      <c r="U162" s="245">
        <f>M162</f>
        <v/>
      </c>
      <c r="V162" s="243">
        <f>N162</f>
        <v/>
      </c>
      <c r="W162" s="245">
        <f>O162</f>
        <v/>
      </c>
      <c r="X162" s="243">
        <f>P162</f>
        <v/>
      </c>
      <c r="Y162" s="246">
        <f>Q162</f>
        <v/>
      </c>
      <c r="Z162" s="247">
        <f>R162</f>
        <v/>
      </c>
      <c r="AA162" s="243" t="n"/>
      <c r="AB162" s="254" t="n"/>
      <c r="AC162" s="254" t="n"/>
      <c r="AD162" s="254" t="n"/>
      <c r="AE162" s="254" t="n"/>
      <c r="AF162" s="254" t="n"/>
      <c r="AG162" s="255" t="n"/>
      <c r="AH162" s="256" t="n"/>
      <c r="AI162" s="253" t="n"/>
    </row>
    <row r="163" hidden="1" outlineLevel="1" s="592">
      <c r="A163" s="241">
        <f>$A158&amp;"."&amp;5</f>
        <v/>
      </c>
      <c r="B163" s="241" t="n"/>
      <c r="C163" s="255">
        <f>$C$158</f>
        <v/>
      </c>
      <c r="D163" s="243" t="n"/>
      <c r="E163" s="244">
        <f>ROUNDUP(IF(J163=0,0,J163)*IF(K163&gt;0,K163,1)*IF(F163&gt;0,F163,1)*IF(H163&gt;0,H163,1),0)</f>
        <v/>
      </c>
      <c r="F163" s="245" t="n"/>
      <c r="G163" s="243" t="n"/>
      <c r="H163" s="245" t="n"/>
      <c r="I163" s="243" t="n"/>
      <c r="J163" s="246" t="n"/>
      <c r="K163" s="247" t="n"/>
      <c r="L163" s="248">
        <f>ROUNDUP(IF(Q163=0,0,Q163)*IF(R163&gt;0,R163,1)*IF(M163&gt;0,M163,1)*IF(O163&gt;0,O163,1),0)</f>
        <v/>
      </c>
      <c r="M163" s="245">
        <f>F163</f>
        <v/>
      </c>
      <c r="N163" s="243">
        <f>G163</f>
        <v/>
      </c>
      <c r="O163" s="245">
        <f>H163</f>
        <v/>
      </c>
      <c r="P163" s="243">
        <f>I163</f>
        <v/>
      </c>
      <c r="Q163" s="246">
        <f>J163</f>
        <v/>
      </c>
      <c r="R163" s="247">
        <f>K163</f>
        <v/>
      </c>
      <c r="S163" s="243" t="n"/>
      <c r="T163" s="249">
        <f>ROUNDUP(IF(Y163=0,0,Y163)*IF(Z163&gt;0,Z163,1)*IF(U163&gt;0,U163,1)*IF(W163&gt;0,W163,1),0)</f>
        <v/>
      </c>
      <c r="U163" s="245">
        <f>M163</f>
        <v/>
      </c>
      <c r="V163" s="243">
        <f>N163</f>
        <v/>
      </c>
      <c r="W163" s="245">
        <f>O163</f>
        <v/>
      </c>
      <c r="X163" s="243">
        <f>P163</f>
        <v/>
      </c>
      <c r="Y163" s="246">
        <f>Q163</f>
        <v/>
      </c>
      <c r="Z163" s="247">
        <f>R163</f>
        <v/>
      </c>
      <c r="AA163" s="243" t="n"/>
      <c r="AB163" s="254" t="n"/>
      <c r="AC163" s="254" t="n"/>
      <c r="AD163" s="254" t="n"/>
      <c r="AE163" s="254" t="n"/>
      <c r="AF163" s="254" t="n"/>
      <c r="AG163" s="255" t="n"/>
      <c r="AH163" s="256" t="n"/>
      <c r="AI163" s="253" t="n"/>
    </row>
    <row r="164" hidden="1" outlineLevel="1" s="592">
      <c r="A164" s="241">
        <f>$A158&amp;"."&amp;6</f>
        <v/>
      </c>
      <c r="B164" s="241" t="n"/>
      <c r="C164" s="255">
        <f>$C$158</f>
        <v/>
      </c>
      <c r="D164" s="243" t="n"/>
      <c r="E164" s="244">
        <f>ROUNDUP(IF(J164=0,0,J164)*IF(K164&gt;0,K164,1)*IF(F164&gt;0,F164,1)*IF(H164&gt;0,H164,1),0)</f>
        <v/>
      </c>
      <c r="F164" s="245" t="n"/>
      <c r="G164" s="243" t="n"/>
      <c r="H164" s="245" t="n"/>
      <c r="I164" s="243" t="n"/>
      <c r="J164" s="246" t="n"/>
      <c r="K164" s="247" t="n"/>
      <c r="L164" s="248">
        <f>ROUNDUP(IF(Q164=0,0,Q164)*IF(R164&gt;0,R164,1)*IF(M164&gt;0,M164,1)*IF(O164&gt;0,O164,1),0)</f>
        <v/>
      </c>
      <c r="M164" s="245">
        <f>F164</f>
        <v/>
      </c>
      <c r="N164" s="243">
        <f>G164</f>
        <v/>
      </c>
      <c r="O164" s="245">
        <f>H164</f>
        <v/>
      </c>
      <c r="P164" s="243">
        <f>I164</f>
        <v/>
      </c>
      <c r="Q164" s="246">
        <f>J164</f>
        <v/>
      </c>
      <c r="R164" s="247">
        <f>K164</f>
        <v/>
      </c>
      <c r="S164" s="243" t="n"/>
      <c r="T164" s="249">
        <f>ROUNDUP(IF(Y164=0,0,Y164)*IF(Z164&gt;0,Z164,1)*IF(U164&gt;0,U164,1)*IF(W164&gt;0,W164,1),0)</f>
        <v/>
      </c>
      <c r="U164" s="245">
        <f>M164</f>
        <v/>
      </c>
      <c r="V164" s="243">
        <f>N164</f>
        <v/>
      </c>
      <c r="W164" s="245">
        <f>O164</f>
        <v/>
      </c>
      <c r="X164" s="243">
        <f>P164</f>
        <v/>
      </c>
      <c r="Y164" s="246">
        <f>Q164</f>
        <v/>
      </c>
      <c r="Z164" s="247">
        <f>R164</f>
        <v/>
      </c>
      <c r="AA164" s="243" t="n"/>
      <c r="AB164" s="254" t="n"/>
      <c r="AC164" s="254" t="n"/>
      <c r="AD164" s="254" t="n"/>
      <c r="AE164" s="254" t="n"/>
      <c r="AF164" s="254" t="n"/>
      <c r="AG164" s="255" t="n"/>
      <c r="AH164" s="256" t="n"/>
      <c r="AI164" s="253" t="n"/>
    </row>
    <row r="165" hidden="1" outlineLevel="1" s="592">
      <c r="A165" s="241">
        <f>$A158&amp;"."&amp;7</f>
        <v/>
      </c>
      <c r="B165" s="241" t="n"/>
      <c r="C165" s="255">
        <f>$C$158</f>
        <v/>
      </c>
      <c r="D165" s="243" t="n"/>
      <c r="E165" s="244">
        <f>ROUNDUP(IF(J165=0,0,J165)*IF(K165&gt;0,K165,1)*IF(F165&gt;0,F165,1)*IF(H165&gt;0,H165,1),0)</f>
        <v/>
      </c>
      <c r="F165" s="245" t="n"/>
      <c r="G165" s="243" t="n"/>
      <c r="H165" s="245" t="n"/>
      <c r="I165" s="243" t="n"/>
      <c r="J165" s="246" t="n"/>
      <c r="K165" s="247" t="n"/>
      <c r="L165" s="248">
        <f>ROUNDUP(IF(Q165=0,0,Q165)*IF(R165&gt;0,R165,1)*IF(M165&gt;0,M165,1)*IF(O165&gt;0,O165,1),0)</f>
        <v/>
      </c>
      <c r="M165" s="245">
        <f>F165</f>
        <v/>
      </c>
      <c r="N165" s="243">
        <f>G165</f>
        <v/>
      </c>
      <c r="O165" s="245">
        <f>H165</f>
        <v/>
      </c>
      <c r="P165" s="243">
        <f>I165</f>
        <v/>
      </c>
      <c r="Q165" s="246">
        <f>J165</f>
        <v/>
      </c>
      <c r="R165" s="247">
        <f>K165</f>
        <v/>
      </c>
      <c r="S165" s="243" t="n"/>
      <c r="T165" s="249">
        <f>ROUNDUP(IF(Y165=0,0,Y165)*IF(Z165&gt;0,Z165,1)*IF(U165&gt;0,U165,1)*IF(W165&gt;0,W165,1),0)</f>
        <v/>
      </c>
      <c r="U165" s="245">
        <f>M165</f>
        <v/>
      </c>
      <c r="V165" s="243">
        <f>N165</f>
        <v/>
      </c>
      <c r="W165" s="245">
        <f>O165</f>
        <v/>
      </c>
      <c r="X165" s="243">
        <f>P165</f>
        <v/>
      </c>
      <c r="Y165" s="246">
        <f>Q165</f>
        <v/>
      </c>
      <c r="Z165" s="247">
        <f>R165</f>
        <v/>
      </c>
      <c r="AA165" s="243" t="n"/>
      <c r="AB165" s="254" t="n"/>
      <c r="AC165" s="254" t="n"/>
      <c r="AD165" s="254" t="n"/>
      <c r="AE165" s="254" t="n"/>
      <c r="AF165" s="254" t="n"/>
      <c r="AG165" s="255" t="n"/>
      <c r="AH165" s="256" t="n"/>
      <c r="AI165" s="253" t="n"/>
    </row>
    <row r="166" hidden="1" outlineLevel="1" s="592">
      <c r="A166" s="241">
        <f>$A158&amp;"."&amp;8</f>
        <v/>
      </c>
      <c r="B166" s="241" t="n"/>
      <c r="C166" s="255">
        <f>$C$158</f>
        <v/>
      </c>
      <c r="D166" s="243" t="n"/>
      <c r="E166" s="244">
        <f>ROUNDUP(IF(J166=0,0,J166)*IF(K166&gt;0,K166,1)*IF(F166&gt;0,F166,1)*IF(H166&gt;0,H166,1),0)</f>
        <v/>
      </c>
      <c r="F166" s="245" t="n"/>
      <c r="G166" s="243" t="n"/>
      <c r="H166" s="245" t="n"/>
      <c r="I166" s="243" t="n"/>
      <c r="J166" s="246" t="n"/>
      <c r="K166" s="247" t="n"/>
      <c r="L166" s="248">
        <f>ROUNDUP(IF(Q166=0,0,Q166)*IF(R166&gt;0,R166,1)*IF(M166&gt;0,M166,1)*IF(O166&gt;0,O166,1),0)</f>
        <v/>
      </c>
      <c r="M166" s="245">
        <f>F166</f>
        <v/>
      </c>
      <c r="N166" s="243">
        <f>G166</f>
        <v/>
      </c>
      <c r="O166" s="245">
        <f>H166</f>
        <v/>
      </c>
      <c r="P166" s="243">
        <f>I166</f>
        <v/>
      </c>
      <c r="Q166" s="246">
        <f>J166</f>
        <v/>
      </c>
      <c r="R166" s="247">
        <f>K166</f>
        <v/>
      </c>
      <c r="S166" s="243" t="n"/>
      <c r="T166" s="249">
        <f>ROUNDUP(IF(Y166=0,0,Y166)*IF(Z166&gt;0,Z166,1)*IF(U166&gt;0,U166,1)*IF(W166&gt;0,W166,1),0)</f>
        <v/>
      </c>
      <c r="U166" s="245">
        <f>M166</f>
        <v/>
      </c>
      <c r="V166" s="243">
        <f>N166</f>
        <v/>
      </c>
      <c r="W166" s="245">
        <f>O166</f>
        <v/>
      </c>
      <c r="X166" s="243">
        <f>P166</f>
        <v/>
      </c>
      <c r="Y166" s="246">
        <f>Q166</f>
        <v/>
      </c>
      <c r="Z166" s="247">
        <f>R166</f>
        <v/>
      </c>
      <c r="AA166" s="243" t="n"/>
      <c r="AB166" s="254" t="n"/>
      <c r="AC166" s="254" t="n"/>
      <c r="AD166" s="254" t="n"/>
      <c r="AE166" s="254" t="n"/>
      <c r="AF166" s="254" t="n"/>
      <c r="AG166" s="255" t="n"/>
      <c r="AH166" s="256" t="n"/>
      <c r="AI166" s="253" t="n"/>
    </row>
    <row r="167" hidden="1" outlineLevel="1" s="592">
      <c r="A167" s="241">
        <f>$A158&amp;"."&amp;9</f>
        <v/>
      </c>
      <c r="B167" s="241" t="n"/>
      <c r="C167" s="255">
        <f>$C$158</f>
        <v/>
      </c>
      <c r="D167" s="243" t="n"/>
      <c r="E167" s="244">
        <f>ROUNDUP(IF(J167=0,0,J167)*IF(K167&gt;0,K167,1)*IF(F167&gt;0,F167,1)*IF(H167&gt;0,H167,1),0)</f>
        <v/>
      </c>
      <c r="F167" s="245" t="n"/>
      <c r="G167" s="243" t="n"/>
      <c r="H167" s="245" t="n"/>
      <c r="I167" s="243" t="n"/>
      <c r="J167" s="246" t="n"/>
      <c r="K167" s="247" t="n"/>
      <c r="L167" s="248">
        <f>ROUNDUP(IF(Q167=0,0,Q167)*IF(R167&gt;0,R167,1)*IF(M167&gt;0,M167,1)*IF(O167&gt;0,O167,1),0)</f>
        <v/>
      </c>
      <c r="M167" s="245">
        <f>F167</f>
        <v/>
      </c>
      <c r="N167" s="243">
        <f>G167</f>
        <v/>
      </c>
      <c r="O167" s="245">
        <f>H167</f>
        <v/>
      </c>
      <c r="P167" s="243">
        <f>I167</f>
        <v/>
      </c>
      <c r="Q167" s="246">
        <f>J167</f>
        <v/>
      </c>
      <c r="R167" s="247">
        <f>K167</f>
        <v/>
      </c>
      <c r="S167" s="243" t="n"/>
      <c r="T167" s="249">
        <f>ROUNDUP(IF(Y167=0,0,Y167)*IF(Z167&gt;0,Z167,1)*IF(U167&gt;0,U167,1)*IF(W167&gt;0,W167,1),0)</f>
        <v/>
      </c>
      <c r="U167" s="245">
        <f>M167</f>
        <v/>
      </c>
      <c r="V167" s="243">
        <f>N167</f>
        <v/>
      </c>
      <c r="W167" s="245">
        <f>O167</f>
        <v/>
      </c>
      <c r="X167" s="243">
        <f>P167</f>
        <v/>
      </c>
      <c r="Y167" s="246">
        <f>Q167</f>
        <v/>
      </c>
      <c r="Z167" s="247">
        <f>R167</f>
        <v/>
      </c>
      <c r="AA167" s="243" t="n"/>
      <c r="AB167" s="254" t="n"/>
      <c r="AC167" s="254" t="n"/>
      <c r="AD167" s="254" t="n"/>
      <c r="AE167" s="254" t="n"/>
      <c r="AF167" s="254" t="n"/>
      <c r="AG167" s="255" t="n"/>
      <c r="AH167" s="256" t="n"/>
      <c r="AI167" s="253" t="n"/>
    </row>
    <row r="168" hidden="1" outlineLevel="1" s="592">
      <c r="A168" s="241">
        <f>$A158&amp;"."&amp;10</f>
        <v/>
      </c>
      <c r="B168" s="241" t="n"/>
      <c r="C168" s="255">
        <f>$C$158</f>
        <v/>
      </c>
      <c r="D168" s="243" t="n"/>
      <c r="E168" s="244">
        <f>ROUNDUP(IF(J168=0,0,J168)*IF(K168&gt;0,K168,1)*IF(F168&gt;0,F168,1)*IF(H168&gt;0,H168,1),0)</f>
        <v/>
      </c>
      <c r="F168" s="245" t="n"/>
      <c r="G168" s="243" t="n"/>
      <c r="H168" s="245" t="n"/>
      <c r="I168" s="243" t="n"/>
      <c r="J168" s="246" t="n"/>
      <c r="K168" s="247" t="n"/>
      <c r="L168" s="248">
        <f>ROUNDUP(IF(Q168=0,0,Q168)*IF(R168&gt;0,R168,1)*IF(M168&gt;0,M168,1)*IF(O168&gt;0,O168,1),0)</f>
        <v/>
      </c>
      <c r="M168" s="245">
        <f>F168</f>
        <v/>
      </c>
      <c r="N168" s="243">
        <f>G168</f>
        <v/>
      </c>
      <c r="O168" s="245">
        <f>H168</f>
        <v/>
      </c>
      <c r="P168" s="243">
        <f>I168</f>
        <v/>
      </c>
      <c r="Q168" s="246">
        <f>J168</f>
        <v/>
      </c>
      <c r="R168" s="247">
        <f>K168</f>
        <v/>
      </c>
      <c r="S168" s="243" t="n"/>
      <c r="T168" s="249">
        <f>ROUNDUP(IF(Y168=0,0,Y168)*IF(Z168&gt;0,Z168,1)*IF(U168&gt;0,U168,1)*IF(W168&gt;0,W168,1),0)</f>
        <v/>
      </c>
      <c r="U168" s="245">
        <f>M168</f>
        <v/>
      </c>
      <c r="V168" s="243">
        <f>N168</f>
        <v/>
      </c>
      <c r="W168" s="245">
        <f>O168</f>
        <v/>
      </c>
      <c r="X168" s="243">
        <f>P168</f>
        <v/>
      </c>
      <c r="Y168" s="246">
        <f>Q168</f>
        <v/>
      </c>
      <c r="Z168" s="247">
        <f>R168</f>
        <v/>
      </c>
      <c r="AA168" s="243" t="n"/>
      <c r="AB168" s="254" t="n"/>
      <c r="AC168" s="254" t="n"/>
      <c r="AD168" s="254" t="n"/>
      <c r="AE168" s="254" t="n"/>
      <c r="AF168" s="254" t="n"/>
      <c r="AG168" s="255" t="n"/>
      <c r="AH168" s="256" t="n"/>
      <c r="AI168" s="253" t="n"/>
    </row>
    <row r="169" hidden="1" outlineLevel="1" s="592">
      <c r="A169" s="241">
        <f>$A158&amp;"."&amp;11</f>
        <v/>
      </c>
      <c r="B169" s="241" t="n"/>
      <c r="C169" s="255">
        <f>$C$158</f>
        <v/>
      </c>
      <c r="D169" s="243" t="n"/>
      <c r="E169" s="244">
        <f>ROUNDUP(IF(J169=0,0,J169)*IF(K169&gt;0,K169,1)*IF(F169&gt;0,F169,1)*IF(H169&gt;0,H169,1),0)</f>
        <v/>
      </c>
      <c r="F169" s="245" t="n"/>
      <c r="G169" s="243" t="n"/>
      <c r="H169" s="245" t="n"/>
      <c r="I169" s="243" t="n"/>
      <c r="J169" s="246" t="n"/>
      <c r="K169" s="247" t="n"/>
      <c r="L169" s="248">
        <f>ROUNDUP(IF(Q169=0,0,Q169)*IF(R169&gt;0,R169,1)*IF(M169&gt;0,M169,1)*IF(O169&gt;0,O169,1),0)</f>
        <v/>
      </c>
      <c r="M169" s="245">
        <f>F169</f>
        <v/>
      </c>
      <c r="N169" s="243">
        <f>G169</f>
        <v/>
      </c>
      <c r="O169" s="245">
        <f>H169</f>
        <v/>
      </c>
      <c r="P169" s="243">
        <f>I169</f>
        <v/>
      </c>
      <c r="Q169" s="246">
        <f>J169</f>
        <v/>
      </c>
      <c r="R169" s="247">
        <f>K169</f>
        <v/>
      </c>
      <c r="S169" s="243" t="n"/>
      <c r="T169" s="249">
        <f>ROUNDUP(IF(Y169=0,0,Y169)*IF(Z169&gt;0,Z169,1)*IF(U169&gt;0,U169,1)*IF(W169&gt;0,W169,1),0)</f>
        <v/>
      </c>
      <c r="U169" s="245">
        <f>M169</f>
        <v/>
      </c>
      <c r="V169" s="243">
        <f>N169</f>
        <v/>
      </c>
      <c r="W169" s="245">
        <f>O169</f>
        <v/>
      </c>
      <c r="X169" s="243">
        <f>P169</f>
        <v/>
      </c>
      <c r="Y169" s="246">
        <f>Q169</f>
        <v/>
      </c>
      <c r="Z169" s="247">
        <f>R169</f>
        <v/>
      </c>
      <c r="AA169" s="243" t="n"/>
      <c r="AB169" s="254" t="n"/>
      <c r="AC169" s="254" t="n"/>
      <c r="AD169" s="254" t="n"/>
      <c r="AE169" s="254" t="n"/>
      <c r="AF169" s="254" t="n"/>
      <c r="AG169" s="255" t="n"/>
      <c r="AH169" s="256" t="n"/>
      <c r="AI169" s="253" t="n"/>
    </row>
    <row r="170" hidden="1" outlineLevel="1" s="592">
      <c r="A170" s="241">
        <f>$A158&amp;"."&amp;12</f>
        <v/>
      </c>
      <c r="B170" s="241" t="n"/>
      <c r="C170" s="255">
        <f>$C$158</f>
        <v/>
      </c>
      <c r="D170" s="243" t="n"/>
      <c r="E170" s="244">
        <f>ROUNDUP(IF(J170=0,0,J170)*IF(K170&gt;0,K170,1)*IF(F170&gt;0,F170,1)*IF(H170&gt;0,H170,1),0)</f>
        <v/>
      </c>
      <c r="F170" s="245" t="n"/>
      <c r="G170" s="243" t="n"/>
      <c r="H170" s="245" t="n"/>
      <c r="I170" s="243" t="n"/>
      <c r="J170" s="246" t="n"/>
      <c r="K170" s="247" t="n"/>
      <c r="L170" s="248">
        <f>ROUNDUP(IF(Q170=0,0,Q170)*IF(R170&gt;0,R170,1)*IF(M170&gt;0,M170,1)*IF(O170&gt;0,O170,1),0)</f>
        <v/>
      </c>
      <c r="M170" s="245">
        <f>F170</f>
        <v/>
      </c>
      <c r="N170" s="243">
        <f>G170</f>
        <v/>
      </c>
      <c r="O170" s="245">
        <f>H170</f>
        <v/>
      </c>
      <c r="P170" s="243">
        <f>I170</f>
        <v/>
      </c>
      <c r="Q170" s="246">
        <f>J170</f>
        <v/>
      </c>
      <c r="R170" s="247">
        <f>K170</f>
        <v/>
      </c>
      <c r="S170" s="243" t="n"/>
      <c r="T170" s="249">
        <f>ROUNDUP(IF(Y170=0,0,Y170)*IF(Z170&gt;0,Z170,1)*IF(U170&gt;0,U170,1)*IF(W170&gt;0,W170,1),0)</f>
        <v/>
      </c>
      <c r="U170" s="245">
        <f>M170</f>
        <v/>
      </c>
      <c r="V170" s="243">
        <f>N170</f>
        <v/>
      </c>
      <c r="W170" s="245">
        <f>O170</f>
        <v/>
      </c>
      <c r="X170" s="243">
        <f>P170</f>
        <v/>
      </c>
      <c r="Y170" s="246">
        <f>Q170</f>
        <v/>
      </c>
      <c r="Z170" s="247">
        <f>R170</f>
        <v/>
      </c>
      <c r="AA170" s="243" t="n"/>
      <c r="AB170" s="254" t="n"/>
      <c r="AC170" s="254" t="n"/>
      <c r="AD170" s="254" t="n"/>
      <c r="AE170" s="254" t="n"/>
      <c r="AF170" s="254" t="n"/>
      <c r="AG170" s="255" t="n"/>
      <c r="AH170" s="256" t="n"/>
      <c r="AI170" s="253" t="n"/>
    </row>
    <row r="171" hidden="1" outlineLevel="1" s="592">
      <c r="A171" s="241">
        <f>$A158&amp;"."&amp;13</f>
        <v/>
      </c>
      <c r="B171" s="241" t="n"/>
      <c r="C171" s="255">
        <f>$C$158</f>
        <v/>
      </c>
      <c r="D171" s="243" t="n"/>
      <c r="E171" s="244">
        <f>ROUNDUP(IF(J171=0,0,J171)*IF(K171&gt;0,K171,1)*IF(F171&gt;0,F171,1)*IF(H171&gt;0,H171,1),0)</f>
        <v/>
      </c>
      <c r="F171" s="245" t="n"/>
      <c r="G171" s="243" t="n"/>
      <c r="H171" s="245" t="n"/>
      <c r="I171" s="243" t="n"/>
      <c r="J171" s="246" t="n"/>
      <c r="K171" s="247" t="n"/>
      <c r="L171" s="248">
        <f>ROUNDUP(IF(Q171=0,0,Q171)*IF(R171&gt;0,R171,1)*IF(M171&gt;0,M171,1)*IF(O171&gt;0,O171,1),0)</f>
        <v/>
      </c>
      <c r="M171" s="245">
        <f>F171</f>
        <v/>
      </c>
      <c r="N171" s="243">
        <f>G171</f>
        <v/>
      </c>
      <c r="O171" s="245">
        <f>H171</f>
        <v/>
      </c>
      <c r="P171" s="243">
        <f>I171</f>
        <v/>
      </c>
      <c r="Q171" s="246">
        <f>J171</f>
        <v/>
      </c>
      <c r="R171" s="247">
        <f>K171</f>
        <v/>
      </c>
      <c r="S171" s="243" t="n"/>
      <c r="T171" s="249">
        <f>ROUNDUP(IF(Y171=0,0,Y171)*IF(Z171&gt;0,Z171,1)*IF(U171&gt;0,U171,1)*IF(W171&gt;0,W171,1),0)</f>
        <v/>
      </c>
      <c r="U171" s="245">
        <f>M171</f>
        <v/>
      </c>
      <c r="V171" s="243">
        <f>N171</f>
        <v/>
      </c>
      <c r="W171" s="245">
        <f>O171</f>
        <v/>
      </c>
      <c r="X171" s="243">
        <f>P171</f>
        <v/>
      </c>
      <c r="Y171" s="246">
        <f>Q171</f>
        <v/>
      </c>
      <c r="Z171" s="247">
        <f>R171</f>
        <v/>
      </c>
      <c r="AA171" s="243" t="n"/>
      <c r="AB171" s="254" t="n"/>
      <c r="AC171" s="254" t="n"/>
      <c r="AD171" s="254" t="n"/>
      <c r="AE171" s="254" t="n"/>
      <c r="AF171" s="254" t="n"/>
      <c r="AG171" s="255" t="n"/>
      <c r="AH171" s="256" t="n"/>
      <c r="AI171" s="253" t="n"/>
    </row>
    <row r="172" hidden="1" outlineLevel="1" s="592">
      <c r="A172" s="241">
        <f>$A158&amp;"."&amp;14</f>
        <v/>
      </c>
      <c r="B172" s="241" t="n"/>
      <c r="C172" s="255">
        <f>$C$158</f>
        <v/>
      </c>
      <c r="D172" s="243" t="n"/>
      <c r="E172" s="244">
        <f>ROUNDUP(IF(J172=0,0,J172)*IF(K172&gt;0,K172,1)*IF(F172&gt;0,F172,1)*IF(H172&gt;0,H172,1),0)</f>
        <v/>
      </c>
      <c r="F172" s="245" t="n"/>
      <c r="G172" s="243" t="n"/>
      <c r="H172" s="245" t="n"/>
      <c r="I172" s="243" t="n"/>
      <c r="J172" s="246" t="n"/>
      <c r="K172" s="247" t="n"/>
      <c r="L172" s="248">
        <f>ROUNDUP(IF(Q172=0,0,Q172)*IF(R172&gt;0,R172,1)*IF(M172&gt;0,M172,1)*IF(O172&gt;0,O172,1),0)</f>
        <v/>
      </c>
      <c r="M172" s="245">
        <f>F172</f>
        <v/>
      </c>
      <c r="N172" s="243">
        <f>G172</f>
        <v/>
      </c>
      <c r="O172" s="245">
        <f>H172</f>
        <v/>
      </c>
      <c r="P172" s="243">
        <f>I172</f>
        <v/>
      </c>
      <c r="Q172" s="246">
        <f>J172</f>
        <v/>
      </c>
      <c r="R172" s="247">
        <f>K172</f>
        <v/>
      </c>
      <c r="S172" s="243" t="n"/>
      <c r="T172" s="249">
        <f>ROUNDUP(IF(Y172=0,0,Y172)*IF(Z172&gt;0,Z172,1)*IF(U172&gt;0,U172,1)*IF(W172&gt;0,W172,1),0)</f>
        <v/>
      </c>
      <c r="U172" s="245">
        <f>M172</f>
        <v/>
      </c>
      <c r="V172" s="243">
        <f>N172</f>
        <v/>
      </c>
      <c r="W172" s="245">
        <f>O172</f>
        <v/>
      </c>
      <c r="X172" s="243">
        <f>P172</f>
        <v/>
      </c>
      <c r="Y172" s="246">
        <f>Q172</f>
        <v/>
      </c>
      <c r="Z172" s="247">
        <f>R172</f>
        <v/>
      </c>
      <c r="AA172" s="243" t="n"/>
      <c r="AB172" s="254" t="n"/>
      <c r="AC172" s="254" t="n"/>
      <c r="AD172" s="254" t="n"/>
      <c r="AE172" s="254" t="n"/>
      <c r="AF172" s="254" t="n"/>
      <c r="AG172" s="255" t="n"/>
      <c r="AH172" s="256" t="n"/>
      <c r="AI172" s="253" t="n"/>
    </row>
    <row r="173" hidden="1" outlineLevel="1" s="592">
      <c r="A173" s="241">
        <f>$A158&amp;"."&amp;15</f>
        <v/>
      </c>
      <c r="B173" s="241" t="n"/>
      <c r="C173" s="255">
        <f>$C$158</f>
        <v/>
      </c>
      <c r="D173" s="243" t="n"/>
      <c r="E173" s="244">
        <f>ROUNDUP(IF(J173=0,0,J173)*IF(K173&gt;0,K173,1)*IF(F173&gt;0,F173,1)*IF(H173&gt;0,H173,1),0)</f>
        <v/>
      </c>
      <c r="F173" s="245" t="n"/>
      <c r="G173" s="243" t="n"/>
      <c r="H173" s="245" t="n"/>
      <c r="I173" s="243" t="n"/>
      <c r="J173" s="246" t="n"/>
      <c r="K173" s="247" t="n"/>
      <c r="L173" s="248">
        <f>ROUNDUP(IF(Q173=0,0,Q173)*IF(R173&gt;0,R173,1)*IF(M173&gt;0,M173,1)*IF(O173&gt;0,O173,1),0)</f>
        <v/>
      </c>
      <c r="M173" s="245">
        <f>F173</f>
        <v/>
      </c>
      <c r="N173" s="243">
        <f>G173</f>
        <v/>
      </c>
      <c r="O173" s="245">
        <f>H173</f>
        <v/>
      </c>
      <c r="P173" s="243">
        <f>I173</f>
        <v/>
      </c>
      <c r="Q173" s="246">
        <f>J173</f>
        <v/>
      </c>
      <c r="R173" s="247">
        <f>K173</f>
        <v/>
      </c>
      <c r="S173" s="243" t="n"/>
      <c r="T173" s="249">
        <f>ROUNDUP(IF(Y173=0,0,Y173)*IF(Z173&gt;0,Z173,1)*IF(U173&gt;0,U173,1)*IF(W173&gt;0,W173,1),0)</f>
        <v/>
      </c>
      <c r="U173" s="245">
        <f>M173</f>
        <v/>
      </c>
      <c r="V173" s="243">
        <f>N173</f>
        <v/>
      </c>
      <c r="W173" s="245">
        <f>O173</f>
        <v/>
      </c>
      <c r="X173" s="243">
        <f>P173</f>
        <v/>
      </c>
      <c r="Y173" s="246">
        <f>Q173</f>
        <v/>
      </c>
      <c r="Z173" s="247">
        <f>R173</f>
        <v/>
      </c>
      <c r="AA173" s="243" t="n"/>
      <c r="AB173" s="254" t="n"/>
      <c r="AC173" s="254" t="n"/>
      <c r="AD173" s="254" t="n"/>
      <c r="AE173" s="254" t="n"/>
      <c r="AF173" s="254" t="n"/>
      <c r="AG173" s="255" t="n"/>
      <c r="AH173" s="256" t="n"/>
      <c r="AI173" s="253" t="n"/>
    </row>
    <row r="174" hidden="1" outlineLevel="1" s="592">
      <c r="A174" s="241">
        <f>$A158&amp;"."&amp;16</f>
        <v/>
      </c>
      <c r="B174" s="241" t="n"/>
      <c r="C174" s="255">
        <f>$C$158</f>
        <v/>
      </c>
      <c r="D174" s="243" t="n"/>
      <c r="E174" s="244">
        <f>ROUNDUP(IF(J174=0,0,J174)*IF(K174&gt;0,K174,1)*IF(F174&gt;0,F174,1)*IF(H174&gt;0,H174,1),0)</f>
        <v/>
      </c>
      <c r="F174" s="245" t="n"/>
      <c r="G174" s="243" t="n"/>
      <c r="H174" s="245" t="n"/>
      <c r="I174" s="243" t="n"/>
      <c r="J174" s="246" t="n"/>
      <c r="K174" s="247" t="n"/>
      <c r="L174" s="248">
        <f>ROUNDUP(IF(Q174=0,0,Q174)*IF(R174&gt;0,R174,1)*IF(M174&gt;0,M174,1)*IF(O174&gt;0,O174,1),0)</f>
        <v/>
      </c>
      <c r="M174" s="245">
        <f>F174</f>
        <v/>
      </c>
      <c r="N174" s="243">
        <f>G174</f>
        <v/>
      </c>
      <c r="O174" s="245">
        <f>H174</f>
        <v/>
      </c>
      <c r="P174" s="243">
        <f>I174</f>
        <v/>
      </c>
      <c r="Q174" s="246">
        <f>J174</f>
        <v/>
      </c>
      <c r="R174" s="247">
        <f>K174</f>
        <v/>
      </c>
      <c r="S174" s="243" t="n"/>
      <c r="T174" s="249">
        <f>ROUNDUP(IF(Y174=0,0,Y174)*IF(Z174&gt;0,Z174,1)*IF(U174&gt;0,U174,1)*IF(W174&gt;0,W174,1),0)</f>
        <v/>
      </c>
      <c r="U174" s="245">
        <f>M174</f>
        <v/>
      </c>
      <c r="V174" s="243">
        <f>N174</f>
        <v/>
      </c>
      <c r="W174" s="245">
        <f>O174</f>
        <v/>
      </c>
      <c r="X174" s="243">
        <f>P174</f>
        <v/>
      </c>
      <c r="Y174" s="246">
        <f>Q174</f>
        <v/>
      </c>
      <c r="Z174" s="247">
        <f>R174</f>
        <v/>
      </c>
      <c r="AA174" s="243" t="n"/>
      <c r="AB174" s="254" t="n"/>
      <c r="AC174" s="254" t="n"/>
      <c r="AD174" s="254" t="n"/>
      <c r="AE174" s="254" t="n"/>
      <c r="AF174" s="254" t="n"/>
      <c r="AG174" s="255" t="n"/>
      <c r="AH174" s="256" t="n"/>
      <c r="AI174" s="253" t="n"/>
    </row>
    <row r="175" hidden="1" outlineLevel="1" s="592">
      <c r="A175" s="241">
        <f>$A158&amp;"."&amp;17</f>
        <v/>
      </c>
      <c r="B175" s="241" t="n"/>
      <c r="C175" s="255">
        <f>$C$158</f>
        <v/>
      </c>
      <c r="D175" s="243" t="n"/>
      <c r="E175" s="244">
        <f>ROUNDUP(IF(J175=0,0,J175)*IF(K175&gt;0,K175,1)*IF(F175&gt;0,F175,1)*IF(H175&gt;0,H175,1),0)</f>
        <v/>
      </c>
      <c r="F175" s="245" t="n"/>
      <c r="G175" s="243" t="n"/>
      <c r="H175" s="245" t="n"/>
      <c r="I175" s="243" t="n"/>
      <c r="J175" s="246" t="n"/>
      <c r="K175" s="247" t="n"/>
      <c r="L175" s="248">
        <f>ROUNDUP(IF(Q175=0,0,Q175)*IF(R175&gt;0,R175,1)*IF(M175&gt;0,M175,1)*IF(O175&gt;0,O175,1),0)</f>
        <v/>
      </c>
      <c r="M175" s="245">
        <f>F175</f>
        <v/>
      </c>
      <c r="N175" s="243">
        <f>G175</f>
        <v/>
      </c>
      <c r="O175" s="245">
        <f>H175</f>
        <v/>
      </c>
      <c r="P175" s="243">
        <f>I175</f>
        <v/>
      </c>
      <c r="Q175" s="246">
        <f>J175</f>
        <v/>
      </c>
      <c r="R175" s="247">
        <f>K175</f>
        <v/>
      </c>
      <c r="S175" s="243" t="n"/>
      <c r="T175" s="249">
        <f>ROUNDUP(IF(Y175=0,0,Y175)*IF(Z175&gt;0,Z175,1)*IF(U175&gt;0,U175,1)*IF(W175&gt;0,W175,1),0)</f>
        <v/>
      </c>
      <c r="U175" s="245">
        <f>M175</f>
        <v/>
      </c>
      <c r="V175" s="243">
        <f>N175</f>
        <v/>
      </c>
      <c r="W175" s="245">
        <f>O175</f>
        <v/>
      </c>
      <c r="X175" s="243">
        <f>P175</f>
        <v/>
      </c>
      <c r="Y175" s="246">
        <f>Q175</f>
        <v/>
      </c>
      <c r="Z175" s="247">
        <f>R175</f>
        <v/>
      </c>
      <c r="AA175" s="243" t="n"/>
      <c r="AB175" s="254" t="n"/>
      <c r="AC175" s="254" t="n"/>
      <c r="AD175" s="254" t="n"/>
      <c r="AE175" s="254" t="n"/>
      <c r="AF175" s="254" t="n"/>
      <c r="AG175" s="255" t="n"/>
      <c r="AH175" s="256" t="n"/>
      <c r="AI175" s="253" t="n"/>
    </row>
    <row r="176" hidden="1" outlineLevel="1" s="592">
      <c r="A176" s="241">
        <f>$A158&amp;"."&amp;18</f>
        <v/>
      </c>
      <c r="B176" s="241" t="n"/>
      <c r="C176" s="255">
        <f>$C$158</f>
        <v/>
      </c>
      <c r="D176" s="243" t="n"/>
      <c r="E176" s="244">
        <f>ROUNDUP(IF(J176=0,0,J176)*IF(K176&gt;0,K176,1)*IF(F176&gt;0,F176,1)*IF(H176&gt;0,H176,1),0)</f>
        <v/>
      </c>
      <c r="F176" s="245" t="n"/>
      <c r="G176" s="243" t="n"/>
      <c r="H176" s="245" t="n"/>
      <c r="I176" s="243" t="n"/>
      <c r="J176" s="246" t="n"/>
      <c r="K176" s="247" t="n"/>
      <c r="L176" s="248">
        <f>ROUNDUP(IF(Q176=0,0,Q176)*IF(R176&gt;0,R176,1)*IF(M176&gt;0,M176,1)*IF(O176&gt;0,O176,1),0)</f>
        <v/>
      </c>
      <c r="M176" s="245">
        <f>F176</f>
        <v/>
      </c>
      <c r="N176" s="243">
        <f>G176</f>
        <v/>
      </c>
      <c r="O176" s="245">
        <f>H176</f>
        <v/>
      </c>
      <c r="P176" s="243">
        <f>I176</f>
        <v/>
      </c>
      <c r="Q176" s="246">
        <f>J176</f>
        <v/>
      </c>
      <c r="R176" s="247">
        <f>K176</f>
        <v/>
      </c>
      <c r="S176" s="243" t="n"/>
      <c r="T176" s="249">
        <f>ROUNDUP(IF(Y176=0,0,Y176)*IF(Z176&gt;0,Z176,1)*IF(U176&gt;0,U176,1)*IF(W176&gt;0,W176,1),0)</f>
        <v/>
      </c>
      <c r="U176" s="245">
        <f>M176</f>
        <v/>
      </c>
      <c r="V176" s="243">
        <f>N176</f>
        <v/>
      </c>
      <c r="W176" s="245">
        <f>O176</f>
        <v/>
      </c>
      <c r="X176" s="243">
        <f>P176</f>
        <v/>
      </c>
      <c r="Y176" s="246">
        <f>Q176</f>
        <v/>
      </c>
      <c r="Z176" s="247">
        <f>R176</f>
        <v/>
      </c>
      <c r="AA176" s="243" t="n"/>
      <c r="AB176" s="254" t="n"/>
      <c r="AC176" s="254" t="n"/>
      <c r="AD176" s="254" t="n"/>
      <c r="AE176" s="254" t="n"/>
      <c r="AF176" s="254" t="n"/>
      <c r="AG176" s="255" t="n"/>
      <c r="AH176" s="256" t="n"/>
      <c r="AI176" s="253" t="n"/>
    </row>
    <row r="177" hidden="1" outlineLevel="1" s="592">
      <c r="A177" s="241">
        <f>$A158&amp;"."&amp;19</f>
        <v/>
      </c>
      <c r="B177" s="241" t="n"/>
      <c r="C177" s="255">
        <f>$C$158</f>
        <v/>
      </c>
      <c r="D177" s="243" t="n"/>
      <c r="E177" s="244">
        <f>ROUNDUP(IF(J177=0,0,J177)*IF(K177&gt;0,K177,1)*IF(F177&gt;0,F177,1)*IF(H177&gt;0,H177,1),0)</f>
        <v/>
      </c>
      <c r="F177" s="245" t="n"/>
      <c r="G177" s="243" t="n"/>
      <c r="H177" s="245" t="n"/>
      <c r="I177" s="243" t="n"/>
      <c r="J177" s="246" t="n"/>
      <c r="K177" s="247" t="n"/>
      <c r="L177" s="248">
        <f>ROUNDUP(IF(Q177=0,0,Q177)*IF(R177&gt;0,R177,1)*IF(M177&gt;0,M177,1)*IF(O177&gt;0,O177,1),0)</f>
        <v/>
      </c>
      <c r="M177" s="245">
        <f>F177</f>
        <v/>
      </c>
      <c r="N177" s="243">
        <f>G177</f>
        <v/>
      </c>
      <c r="O177" s="245">
        <f>H177</f>
        <v/>
      </c>
      <c r="P177" s="243">
        <f>I177</f>
        <v/>
      </c>
      <c r="Q177" s="246">
        <f>J177</f>
        <v/>
      </c>
      <c r="R177" s="247">
        <f>K177</f>
        <v/>
      </c>
      <c r="S177" s="243" t="n"/>
      <c r="T177" s="249">
        <f>ROUNDUP(IF(Y177=0,0,Y177)*IF(Z177&gt;0,Z177,1)*IF(U177&gt;0,U177,1)*IF(W177&gt;0,W177,1),0)</f>
        <v/>
      </c>
      <c r="U177" s="245">
        <f>M177</f>
        <v/>
      </c>
      <c r="V177" s="243">
        <f>N177</f>
        <v/>
      </c>
      <c r="W177" s="245">
        <f>O177</f>
        <v/>
      </c>
      <c r="X177" s="243">
        <f>P177</f>
        <v/>
      </c>
      <c r="Y177" s="246">
        <f>Q177</f>
        <v/>
      </c>
      <c r="Z177" s="247">
        <f>R177</f>
        <v/>
      </c>
      <c r="AA177" s="243" t="n"/>
      <c r="AB177" s="254" t="n"/>
      <c r="AC177" s="254" t="n"/>
      <c r="AD177" s="254" t="n"/>
      <c r="AE177" s="254" t="n"/>
      <c r="AF177" s="254" t="n"/>
      <c r="AG177" s="255" t="n"/>
      <c r="AH177" s="256" t="n"/>
      <c r="AI177" s="253" t="n"/>
    </row>
    <row r="178" hidden="1" outlineLevel="1" s="592">
      <c r="A178" s="241">
        <f>$A158&amp;"."&amp;20</f>
        <v/>
      </c>
      <c r="B178" s="241" t="n"/>
      <c r="C178" s="255">
        <f>$C$158</f>
        <v/>
      </c>
      <c r="D178" s="243" t="n"/>
      <c r="E178" s="244">
        <f>ROUNDUP(IF(J178=0,0,J178)*IF(K178&gt;0,K178,1)*IF(F178&gt;0,F178,1)*IF(H178&gt;0,H178,1),0)</f>
        <v/>
      </c>
      <c r="F178" s="245" t="n"/>
      <c r="G178" s="243" t="n"/>
      <c r="H178" s="245" t="n"/>
      <c r="I178" s="243" t="n"/>
      <c r="J178" s="246" t="n"/>
      <c r="K178" s="247" t="n"/>
      <c r="L178" s="248">
        <f>ROUNDUP(IF(Q178=0,0,Q178)*IF(R178&gt;0,R178,1)*IF(M178&gt;0,M178,1)*IF(O178&gt;0,O178,1),0)</f>
        <v/>
      </c>
      <c r="M178" s="245">
        <f>F178</f>
        <v/>
      </c>
      <c r="N178" s="243">
        <f>G178</f>
        <v/>
      </c>
      <c r="O178" s="245">
        <f>H178</f>
        <v/>
      </c>
      <c r="P178" s="243">
        <f>I178</f>
        <v/>
      </c>
      <c r="Q178" s="246">
        <f>J178</f>
        <v/>
      </c>
      <c r="R178" s="247">
        <f>K178</f>
        <v/>
      </c>
      <c r="S178" s="243" t="n"/>
      <c r="T178" s="249">
        <f>ROUNDUP(IF(Y178=0,0,Y178)*IF(Z178&gt;0,Z178,1)*IF(U178&gt;0,U178,1)*IF(W178&gt;0,W178,1),0)</f>
        <v/>
      </c>
      <c r="U178" s="245">
        <f>M178</f>
        <v/>
      </c>
      <c r="V178" s="243">
        <f>N178</f>
        <v/>
      </c>
      <c r="W178" s="245">
        <f>O178</f>
        <v/>
      </c>
      <c r="X178" s="243">
        <f>P178</f>
        <v/>
      </c>
      <c r="Y178" s="246">
        <f>Q178</f>
        <v/>
      </c>
      <c r="Z178" s="247">
        <f>R178</f>
        <v/>
      </c>
      <c r="AA178" s="243" t="n"/>
      <c r="AB178" s="254" t="n"/>
      <c r="AC178" s="254" t="n"/>
      <c r="AD178" s="254" t="n"/>
      <c r="AE178" s="254" t="n"/>
      <c r="AF178" s="254" t="n"/>
      <c r="AG178" s="255" t="n"/>
      <c r="AH178" s="256" t="n"/>
      <c r="AI178" s="253" t="n"/>
    </row>
    <row r="179" collapsed="1" s="592">
      <c r="A179" s="257" t="n">
        <v>9</v>
      </c>
      <c r="B179" s="257">
        <f>IFERROR(__xludf.DUMMYFUNCTION("vlookup(C179,IMPORTRANGE(REF!$B$3,""FP!B:C""),2,0)"),"#N/A")</f>
        <v/>
      </c>
      <c r="C179" s="237" t="inlineStr">
        <is>
          <t>ชื่อกิจกรรมที่ 9</t>
        </is>
      </c>
      <c r="D179" s="232" t="n"/>
      <c r="E179" s="233">
        <f>SUM(E180:E199)</f>
        <v/>
      </c>
      <c r="F179" s="234" t="n"/>
      <c r="G179" s="235" t="n"/>
      <c r="H179" s="234" t="n"/>
      <c r="I179" s="235" t="n"/>
      <c r="J179" s="233" t="n"/>
      <c r="K179" s="236" t="n"/>
      <c r="L179" s="233">
        <f>SUM(L180:L199)</f>
        <v/>
      </c>
      <c r="M179" s="234" t="n"/>
      <c r="N179" s="235" t="n"/>
      <c r="O179" s="234" t="n"/>
      <c r="P179" s="235" t="n"/>
      <c r="Q179" s="233" t="n"/>
      <c r="R179" s="236" t="n"/>
      <c r="S179" s="235" t="n"/>
      <c r="T179" s="233">
        <f>SUM(T180:T199)</f>
        <v/>
      </c>
      <c r="U179" s="234" t="n"/>
      <c r="V179" s="235" t="n"/>
      <c r="W179" s="234" t="n"/>
      <c r="X179" s="235" t="n"/>
      <c r="Y179" s="233" t="n"/>
      <c r="Z179" s="236" t="n"/>
      <c r="AA179" s="235" t="n"/>
      <c r="AB179" s="237" t="n"/>
      <c r="AC179" s="237" t="n"/>
      <c r="AD179" s="237" t="n"/>
      <c r="AE179" s="237" t="n"/>
      <c r="AF179" s="237" t="n"/>
      <c r="AG179" s="238" t="b">
        <v>0</v>
      </c>
      <c r="AH179" s="239" t="n"/>
      <c r="AI179" s="253" t="n"/>
    </row>
    <row r="180" hidden="1" outlineLevel="1" s="592">
      <c r="A180" s="241">
        <f>$A179&amp;"."&amp;1</f>
        <v/>
      </c>
      <c r="B180" s="241" t="n"/>
      <c r="C180" s="255">
        <f>$C$179</f>
        <v/>
      </c>
      <c r="D180" s="243" t="n"/>
      <c r="E180" s="244">
        <f>ROUNDUP(IF(J180=0,0,J180)*IF(K180&gt;0,K180,1)*IF(F180&gt;0,F180,1)*IF(H180&gt;0,H180,1),0)</f>
        <v/>
      </c>
      <c r="F180" s="245" t="n"/>
      <c r="G180" s="243" t="n"/>
      <c r="H180" s="245" t="n"/>
      <c r="I180" s="243" t="n"/>
      <c r="J180" s="246" t="n"/>
      <c r="K180" s="247" t="n"/>
      <c r="L180" s="248">
        <f>ROUNDUP(IF(Q180=0,0,Q180)*IF(R180&gt;0,R180,1)*IF(M180&gt;0,M180,1)*IF(O180&gt;0,O180,1),0)</f>
        <v/>
      </c>
      <c r="M180" s="245">
        <f>F180</f>
        <v/>
      </c>
      <c r="N180" s="243">
        <f>G180</f>
        <v/>
      </c>
      <c r="O180" s="245">
        <f>H180</f>
        <v/>
      </c>
      <c r="P180" s="243">
        <f>I180</f>
        <v/>
      </c>
      <c r="Q180" s="246">
        <f>J180</f>
        <v/>
      </c>
      <c r="R180" s="247">
        <f>K180</f>
        <v/>
      </c>
      <c r="S180" s="243" t="n"/>
      <c r="T180" s="249">
        <f>ROUNDUP(IF(Y180=0,0,Y180)*IF(Z180&gt;0,Z180,1)*IF(U180&gt;0,U180,1)*IF(W180&gt;0,W180,1),0)</f>
        <v/>
      </c>
      <c r="U180" s="245">
        <f>M180</f>
        <v/>
      </c>
      <c r="V180" s="243">
        <f>N180</f>
        <v/>
      </c>
      <c r="W180" s="245">
        <f>O180</f>
        <v/>
      </c>
      <c r="X180" s="243">
        <f>P180</f>
        <v/>
      </c>
      <c r="Y180" s="246">
        <f>Q180</f>
        <v/>
      </c>
      <c r="Z180" s="247">
        <f>R180</f>
        <v/>
      </c>
      <c r="AA180" s="243" t="n"/>
      <c r="AB180" s="254" t="n"/>
      <c r="AC180" s="254" t="n"/>
      <c r="AD180" s="254" t="n"/>
      <c r="AE180" s="254" t="n"/>
      <c r="AF180" s="254" t="n"/>
      <c r="AG180" s="255" t="n"/>
      <c r="AH180" s="256" t="n"/>
      <c r="AI180" s="253" t="n"/>
    </row>
    <row r="181" hidden="1" outlineLevel="1" s="592">
      <c r="A181" s="241">
        <f>$A179&amp;"."&amp;2</f>
        <v/>
      </c>
      <c r="B181" s="241" t="n"/>
      <c r="C181" s="255">
        <f>$C$179</f>
        <v/>
      </c>
      <c r="D181" s="243" t="n"/>
      <c r="E181" s="244">
        <f>ROUNDUP(IF(J181=0,0,J181)*IF(K181&gt;0,K181,1)*IF(F181&gt;0,F181,1)*IF(H181&gt;0,H181,1),0)</f>
        <v/>
      </c>
      <c r="F181" s="245" t="n"/>
      <c r="G181" s="243" t="n"/>
      <c r="H181" s="245" t="n"/>
      <c r="I181" s="243" t="n"/>
      <c r="J181" s="246" t="n"/>
      <c r="K181" s="247" t="n"/>
      <c r="L181" s="248">
        <f>ROUNDUP(IF(Q181=0,0,Q181)*IF(R181&gt;0,R181,1)*IF(M181&gt;0,M181,1)*IF(O181&gt;0,O181,1),0)</f>
        <v/>
      </c>
      <c r="M181" s="245">
        <f>F181</f>
        <v/>
      </c>
      <c r="N181" s="243">
        <f>G181</f>
        <v/>
      </c>
      <c r="O181" s="245">
        <f>H181</f>
        <v/>
      </c>
      <c r="P181" s="243">
        <f>I181</f>
        <v/>
      </c>
      <c r="Q181" s="246">
        <f>J181</f>
        <v/>
      </c>
      <c r="R181" s="247">
        <f>K181</f>
        <v/>
      </c>
      <c r="S181" s="243" t="n"/>
      <c r="T181" s="249">
        <f>ROUNDUP(IF(Y181=0,0,Y181)*IF(Z181&gt;0,Z181,1)*IF(U181&gt;0,U181,1)*IF(W181&gt;0,W181,1),0)</f>
        <v/>
      </c>
      <c r="U181" s="245">
        <f>M181</f>
        <v/>
      </c>
      <c r="V181" s="243">
        <f>N181</f>
        <v/>
      </c>
      <c r="W181" s="245">
        <f>O181</f>
        <v/>
      </c>
      <c r="X181" s="243">
        <f>P181</f>
        <v/>
      </c>
      <c r="Y181" s="246">
        <f>Q181</f>
        <v/>
      </c>
      <c r="Z181" s="247">
        <f>R181</f>
        <v/>
      </c>
      <c r="AA181" s="243" t="n"/>
      <c r="AB181" s="254" t="n"/>
      <c r="AC181" s="254" t="n"/>
      <c r="AD181" s="254" t="n"/>
      <c r="AE181" s="254" t="n"/>
      <c r="AF181" s="254" t="n"/>
      <c r="AG181" s="255" t="n"/>
      <c r="AH181" s="256" t="n"/>
      <c r="AI181" s="253" t="n"/>
    </row>
    <row r="182" hidden="1" outlineLevel="1" s="592">
      <c r="A182" s="241">
        <f>$A179&amp;"."&amp;3</f>
        <v/>
      </c>
      <c r="B182" s="241" t="n"/>
      <c r="C182" s="255">
        <f>$C$179</f>
        <v/>
      </c>
      <c r="D182" s="243" t="n"/>
      <c r="E182" s="244">
        <f>ROUNDUP(IF(J182=0,0,J182)*IF(K182&gt;0,K182,1)*IF(F182&gt;0,F182,1)*IF(H182&gt;0,H182,1),0)</f>
        <v/>
      </c>
      <c r="F182" s="245" t="n"/>
      <c r="G182" s="243" t="n"/>
      <c r="H182" s="245" t="n"/>
      <c r="I182" s="243" t="n"/>
      <c r="J182" s="246" t="n"/>
      <c r="K182" s="247" t="n"/>
      <c r="L182" s="248">
        <f>ROUNDUP(IF(Q182=0,0,Q182)*IF(R182&gt;0,R182,1)*IF(M182&gt;0,M182,1)*IF(O182&gt;0,O182,1),0)</f>
        <v/>
      </c>
      <c r="M182" s="245">
        <f>F182</f>
        <v/>
      </c>
      <c r="N182" s="243">
        <f>G182</f>
        <v/>
      </c>
      <c r="O182" s="245">
        <f>H182</f>
        <v/>
      </c>
      <c r="P182" s="243">
        <f>I182</f>
        <v/>
      </c>
      <c r="Q182" s="246">
        <f>J182</f>
        <v/>
      </c>
      <c r="R182" s="247">
        <f>K182</f>
        <v/>
      </c>
      <c r="S182" s="243" t="n"/>
      <c r="T182" s="249">
        <f>ROUNDUP(IF(Y182=0,0,Y182)*IF(Z182&gt;0,Z182,1)*IF(U182&gt;0,U182,1)*IF(W182&gt;0,W182,1),0)</f>
        <v/>
      </c>
      <c r="U182" s="245">
        <f>M182</f>
        <v/>
      </c>
      <c r="V182" s="243">
        <f>N182</f>
        <v/>
      </c>
      <c r="W182" s="245">
        <f>O182</f>
        <v/>
      </c>
      <c r="X182" s="243">
        <f>P182</f>
        <v/>
      </c>
      <c r="Y182" s="246">
        <f>Q182</f>
        <v/>
      </c>
      <c r="Z182" s="247">
        <f>R182</f>
        <v/>
      </c>
      <c r="AA182" s="243" t="n"/>
      <c r="AB182" s="254" t="n"/>
      <c r="AC182" s="254" t="n"/>
      <c r="AD182" s="254" t="n"/>
      <c r="AE182" s="254" t="n"/>
      <c r="AF182" s="254" t="n"/>
      <c r="AG182" s="255" t="n"/>
      <c r="AH182" s="256" t="n"/>
      <c r="AI182" s="253" t="n"/>
    </row>
    <row r="183" hidden="1" outlineLevel="1" s="592">
      <c r="A183" s="241">
        <f>$A179&amp;"."&amp;4</f>
        <v/>
      </c>
      <c r="B183" s="241" t="n"/>
      <c r="C183" s="255">
        <f>$C$179</f>
        <v/>
      </c>
      <c r="D183" s="243" t="n"/>
      <c r="E183" s="244">
        <f>ROUNDUP(IF(J183=0,0,J183)*IF(K183&gt;0,K183,1)*IF(F183&gt;0,F183,1)*IF(H183&gt;0,H183,1),0)</f>
        <v/>
      </c>
      <c r="F183" s="245" t="n"/>
      <c r="G183" s="243" t="n"/>
      <c r="H183" s="245" t="n"/>
      <c r="I183" s="243" t="n"/>
      <c r="J183" s="246" t="n"/>
      <c r="K183" s="247" t="n"/>
      <c r="L183" s="248">
        <f>ROUNDUP(IF(Q183=0,0,Q183)*IF(R183&gt;0,R183,1)*IF(M183&gt;0,M183,1)*IF(O183&gt;0,O183,1),0)</f>
        <v/>
      </c>
      <c r="M183" s="245">
        <f>F183</f>
        <v/>
      </c>
      <c r="N183" s="243">
        <f>G183</f>
        <v/>
      </c>
      <c r="O183" s="245">
        <f>H183</f>
        <v/>
      </c>
      <c r="P183" s="243">
        <f>I183</f>
        <v/>
      </c>
      <c r="Q183" s="246">
        <f>J183</f>
        <v/>
      </c>
      <c r="R183" s="247">
        <f>K183</f>
        <v/>
      </c>
      <c r="S183" s="243" t="n"/>
      <c r="T183" s="249">
        <f>ROUNDUP(IF(Y183=0,0,Y183)*IF(Z183&gt;0,Z183,1)*IF(U183&gt;0,U183,1)*IF(W183&gt;0,W183,1),0)</f>
        <v/>
      </c>
      <c r="U183" s="245">
        <f>M183</f>
        <v/>
      </c>
      <c r="V183" s="243">
        <f>N183</f>
        <v/>
      </c>
      <c r="W183" s="245">
        <f>O183</f>
        <v/>
      </c>
      <c r="X183" s="243">
        <f>P183</f>
        <v/>
      </c>
      <c r="Y183" s="246">
        <f>Q183</f>
        <v/>
      </c>
      <c r="Z183" s="247">
        <f>R183</f>
        <v/>
      </c>
      <c r="AA183" s="243" t="n"/>
      <c r="AB183" s="254" t="n"/>
      <c r="AC183" s="254" t="n"/>
      <c r="AD183" s="254" t="n"/>
      <c r="AE183" s="254" t="n"/>
      <c r="AF183" s="254" t="n"/>
      <c r="AG183" s="255" t="n"/>
      <c r="AH183" s="256" t="n"/>
      <c r="AI183" s="253" t="n"/>
    </row>
    <row r="184" hidden="1" outlineLevel="1" s="592">
      <c r="A184" s="241">
        <f>$A179&amp;"."&amp;5</f>
        <v/>
      </c>
      <c r="B184" s="241" t="n"/>
      <c r="C184" s="255">
        <f>$C$179</f>
        <v/>
      </c>
      <c r="D184" s="243" t="n"/>
      <c r="E184" s="244">
        <f>ROUNDUP(IF(J184=0,0,J184)*IF(K184&gt;0,K184,1)*IF(F184&gt;0,F184,1)*IF(H184&gt;0,H184,1),0)</f>
        <v/>
      </c>
      <c r="F184" s="245" t="n"/>
      <c r="G184" s="243" t="n"/>
      <c r="H184" s="245" t="n"/>
      <c r="I184" s="243" t="n"/>
      <c r="J184" s="246" t="n"/>
      <c r="K184" s="247" t="n"/>
      <c r="L184" s="248">
        <f>ROUNDUP(IF(Q184=0,0,Q184)*IF(R184&gt;0,R184,1)*IF(M184&gt;0,M184,1)*IF(O184&gt;0,O184,1),0)</f>
        <v/>
      </c>
      <c r="M184" s="245">
        <f>F184</f>
        <v/>
      </c>
      <c r="N184" s="243">
        <f>G184</f>
        <v/>
      </c>
      <c r="O184" s="245">
        <f>H184</f>
        <v/>
      </c>
      <c r="P184" s="243">
        <f>I184</f>
        <v/>
      </c>
      <c r="Q184" s="246">
        <f>J184</f>
        <v/>
      </c>
      <c r="R184" s="247">
        <f>K184</f>
        <v/>
      </c>
      <c r="S184" s="243" t="n"/>
      <c r="T184" s="249">
        <f>ROUNDUP(IF(Y184=0,0,Y184)*IF(Z184&gt;0,Z184,1)*IF(U184&gt;0,U184,1)*IF(W184&gt;0,W184,1),0)</f>
        <v/>
      </c>
      <c r="U184" s="245">
        <f>M184</f>
        <v/>
      </c>
      <c r="V184" s="243">
        <f>N184</f>
        <v/>
      </c>
      <c r="W184" s="245">
        <f>O184</f>
        <v/>
      </c>
      <c r="X184" s="243">
        <f>P184</f>
        <v/>
      </c>
      <c r="Y184" s="246">
        <f>Q184</f>
        <v/>
      </c>
      <c r="Z184" s="247">
        <f>R184</f>
        <v/>
      </c>
      <c r="AA184" s="243" t="n"/>
      <c r="AB184" s="254" t="n"/>
      <c r="AC184" s="254" t="n"/>
      <c r="AD184" s="254" t="n"/>
      <c r="AE184" s="254" t="n"/>
      <c r="AF184" s="254" t="n"/>
      <c r="AG184" s="255" t="n"/>
      <c r="AH184" s="256" t="n"/>
      <c r="AI184" s="253" t="n"/>
    </row>
    <row r="185" hidden="1" outlineLevel="1" s="592">
      <c r="A185" s="241">
        <f>$A179&amp;"."&amp;6</f>
        <v/>
      </c>
      <c r="B185" s="241" t="n"/>
      <c r="C185" s="255">
        <f>$C$179</f>
        <v/>
      </c>
      <c r="D185" s="243" t="n"/>
      <c r="E185" s="244">
        <f>ROUNDUP(IF(J185=0,0,J185)*IF(K185&gt;0,K185,1)*IF(F185&gt;0,F185,1)*IF(H185&gt;0,H185,1),0)</f>
        <v/>
      </c>
      <c r="F185" s="245" t="n"/>
      <c r="G185" s="243" t="n"/>
      <c r="H185" s="245" t="n"/>
      <c r="I185" s="243" t="n"/>
      <c r="J185" s="246" t="n"/>
      <c r="K185" s="247" t="n"/>
      <c r="L185" s="248">
        <f>ROUNDUP(IF(Q185=0,0,Q185)*IF(R185&gt;0,R185,1)*IF(M185&gt;0,M185,1)*IF(O185&gt;0,O185,1),0)</f>
        <v/>
      </c>
      <c r="M185" s="245">
        <f>F185</f>
        <v/>
      </c>
      <c r="N185" s="243">
        <f>G185</f>
        <v/>
      </c>
      <c r="O185" s="245">
        <f>H185</f>
        <v/>
      </c>
      <c r="P185" s="243">
        <f>I185</f>
        <v/>
      </c>
      <c r="Q185" s="246">
        <f>J185</f>
        <v/>
      </c>
      <c r="R185" s="247">
        <f>K185</f>
        <v/>
      </c>
      <c r="S185" s="243" t="n"/>
      <c r="T185" s="249">
        <f>ROUNDUP(IF(Y185=0,0,Y185)*IF(Z185&gt;0,Z185,1)*IF(U185&gt;0,U185,1)*IF(W185&gt;0,W185,1),0)</f>
        <v/>
      </c>
      <c r="U185" s="245">
        <f>M185</f>
        <v/>
      </c>
      <c r="V185" s="243">
        <f>N185</f>
        <v/>
      </c>
      <c r="W185" s="245">
        <f>O185</f>
        <v/>
      </c>
      <c r="X185" s="243">
        <f>P185</f>
        <v/>
      </c>
      <c r="Y185" s="246">
        <f>Q185</f>
        <v/>
      </c>
      <c r="Z185" s="247">
        <f>R185</f>
        <v/>
      </c>
      <c r="AA185" s="243" t="n"/>
      <c r="AB185" s="254" t="n"/>
      <c r="AC185" s="254" t="n"/>
      <c r="AD185" s="254" t="n"/>
      <c r="AE185" s="254" t="n"/>
      <c r="AF185" s="254" t="n"/>
      <c r="AG185" s="255" t="n"/>
      <c r="AH185" s="256" t="n"/>
      <c r="AI185" s="253" t="n"/>
    </row>
    <row r="186" hidden="1" outlineLevel="1" s="592">
      <c r="A186" s="241">
        <f>$A179&amp;"."&amp;7</f>
        <v/>
      </c>
      <c r="B186" s="241" t="n"/>
      <c r="C186" s="255">
        <f>$C$179</f>
        <v/>
      </c>
      <c r="D186" s="243" t="n"/>
      <c r="E186" s="244">
        <f>ROUNDUP(IF(J186=0,0,J186)*IF(K186&gt;0,K186,1)*IF(F186&gt;0,F186,1)*IF(H186&gt;0,H186,1),0)</f>
        <v/>
      </c>
      <c r="F186" s="245" t="n"/>
      <c r="G186" s="243" t="n"/>
      <c r="H186" s="245" t="n"/>
      <c r="I186" s="243" t="n"/>
      <c r="J186" s="246" t="n"/>
      <c r="K186" s="247" t="n"/>
      <c r="L186" s="248">
        <f>ROUNDUP(IF(Q186=0,0,Q186)*IF(R186&gt;0,R186,1)*IF(M186&gt;0,M186,1)*IF(O186&gt;0,O186,1),0)</f>
        <v/>
      </c>
      <c r="M186" s="245">
        <f>F186</f>
        <v/>
      </c>
      <c r="N186" s="243">
        <f>G186</f>
        <v/>
      </c>
      <c r="O186" s="245">
        <f>H186</f>
        <v/>
      </c>
      <c r="P186" s="243">
        <f>I186</f>
        <v/>
      </c>
      <c r="Q186" s="246">
        <f>J186</f>
        <v/>
      </c>
      <c r="R186" s="247">
        <f>K186</f>
        <v/>
      </c>
      <c r="S186" s="243" t="n"/>
      <c r="T186" s="249">
        <f>ROUNDUP(IF(Y186=0,0,Y186)*IF(Z186&gt;0,Z186,1)*IF(U186&gt;0,U186,1)*IF(W186&gt;0,W186,1),0)</f>
        <v/>
      </c>
      <c r="U186" s="245">
        <f>M186</f>
        <v/>
      </c>
      <c r="V186" s="243">
        <f>N186</f>
        <v/>
      </c>
      <c r="W186" s="245">
        <f>O186</f>
        <v/>
      </c>
      <c r="X186" s="243">
        <f>P186</f>
        <v/>
      </c>
      <c r="Y186" s="246">
        <f>Q186</f>
        <v/>
      </c>
      <c r="Z186" s="247">
        <f>R186</f>
        <v/>
      </c>
      <c r="AA186" s="243" t="n"/>
      <c r="AB186" s="254" t="n"/>
      <c r="AC186" s="254" t="n"/>
      <c r="AD186" s="254" t="n"/>
      <c r="AE186" s="254" t="n"/>
      <c r="AF186" s="254" t="n"/>
      <c r="AG186" s="255" t="n"/>
      <c r="AH186" s="256" t="n"/>
      <c r="AI186" s="253" t="n"/>
    </row>
    <row r="187" hidden="1" outlineLevel="1" s="592">
      <c r="A187" s="241">
        <f>$A179&amp;"."&amp;8</f>
        <v/>
      </c>
      <c r="B187" s="241" t="n"/>
      <c r="C187" s="255">
        <f>$C$179</f>
        <v/>
      </c>
      <c r="D187" s="243" t="n"/>
      <c r="E187" s="244">
        <f>ROUNDUP(IF(J187=0,0,J187)*IF(K187&gt;0,K187,1)*IF(F187&gt;0,F187,1)*IF(H187&gt;0,H187,1),0)</f>
        <v/>
      </c>
      <c r="F187" s="245" t="n"/>
      <c r="G187" s="243" t="n"/>
      <c r="H187" s="245" t="n"/>
      <c r="I187" s="243" t="n"/>
      <c r="J187" s="246" t="n"/>
      <c r="K187" s="247" t="n"/>
      <c r="L187" s="248">
        <f>ROUNDUP(IF(Q187=0,0,Q187)*IF(R187&gt;0,R187,1)*IF(M187&gt;0,M187,1)*IF(O187&gt;0,O187,1),0)</f>
        <v/>
      </c>
      <c r="M187" s="245">
        <f>F187</f>
        <v/>
      </c>
      <c r="N187" s="243">
        <f>G187</f>
        <v/>
      </c>
      <c r="O187" s="245">
        <f>H187</f>
        <v/>
      </c>
      <c r="P187" s="243">
        <f>I187</f>
        <v/>
      </c>
      <c r="Q187" s="246">
        <f>J187</f>
        <v/>
      </c>
      <c r="R187" s="247">
        <f>K187</f>
        <v/>
      </c>
      <c r="S187" s="243" t="n"/>
      <c r="T187" s="249">
        <f>ROUNDUP(IF(Y187=0,0,Y187)*IF(Z187&gt;0,Z187,1)*IF(U187&gt;0,U187,1)*IF(W187&gt;0,W187,1),0)</f>
        <v/>
      </c>
      <c r="U187" s="245">
        <f>M187</f>
        <v/>
      </c>
      <c r="V187" s="243">
        <f>N187</f>
        <v/>
      </c>
      <c r="W187" s="245">
        <f>O187</f>
        <v/>
      </c>
      <c r="X187" s="243">
        <f>P187</f>
        <v/>
      </c>
      <c r="Y187" s="246">
        <f>Q187</f>
        <v/>
      </c>
      <c r="Z187" s="247">
        <f>R187</f>
        <v/>
      </c>
      <c r="AA187" s="243" t="n"/>
      <c r="AB187" s="254" t="n"/>
      <c r="AC187" s="254" t="n"/>
      <c r="AD187" s="254" t="n"/>
      <c r="AE187" s="254" t="n"/>
      <c r="AF187" s="254" t="n"/>
      <c r="AG187" s="255" t="n"/>
      <c r="AH187" s="256" t="n"/>
      <c r="AI187" s="253" t="n"/>
    </row>
    <row r="188" hidden="1" outlineLevel="1" s="592">
      <c r="A188" s="241">
        <f>$A179&amp;"."&amp;9</f>
        <v/>
      </c>
      <c r="B188" s="241" t="n"/>
      <c r="C188" s="255">
        <f>$C$179</f>
        <v/>
      </c>
      <c r="D188" s="243" t="n"/>
      <c r="E188" s="244">
        <f>ROUNDUP(IF(J188=0,0,J188)*IF(K188&gt;0,K188,1)*IF(F188&gt;0,F188,1)*IF(H188&gt;0,H188,1),0)</f>
        <v/>
      </c>
      <c r="F188" s="245" t="n"/>
      <c r="G188" s="243" t="n"/>
      <c r="H188" s="245" t="n"/>
      <c r="I188" s="243" t="n"/>
      <c r="J188" s="246" t="n"/>
      <c r="K188" s="247" t="n"/>
      <c r="L188" s="248">
        <f>ROUNDUP(IF(Q188=0,0,Q188)*IF(R188&gt;0,R188,1)*IF(M188&gt;0,M188,1)*IF(O188&gt;0,O188,1),0)</f>
        <v/>
      </c>
      <c r="M188" s="245">
        <f>F188</f>
        <v/>
      </c>
      <c r="N188" s="243">
        <f>G188</f>
        <v/>
      </c>
      <c r="O188" s="245">
        <f>H188</f>
        <v/>
      </c>
      <c r="P188" s="243">
        <f>I188</f>
        <v/>
      </c>
      <c r="Q188" s="246">
        <f>J188</f>
        <v/>
      </c>
      <c r="R188" s="247">
        <f>K188</f>
        <v/>
      </c>
      <c r="S188" s="243" t="n"/>
      <c r="T188" s="249">
        <f>ROUNDUP(IF(Y188=0,0,Y188)*IF(Z188&gt;0,Z188,1)*IF(U188&gt;0,U188,1)*IF(W188&gt;0,W188,1),0)</f>
        <v/>
      </c>
      <c r="U188" s="245">
        <f>M188</f>
        <v/>
      </c>
      <c r="V188" s="243">
        <f>N188</f>
        <v/>
      </c>
      <c r="W188" s="245">
        <f>O188</f>
        <v/>
      </c>
      <c r="X188" s="243">
        <f>P188</f>
        <v/>
      </c>
      <c r="Y188" s="246">
        <f>Q188</f>
        <v/>
      </c>
      <c r="Z188" s="247">
        <f>R188</f>
        <v/>
      </c>
      <c r="AA188" s="243" t="n"/>
      <c r="AB188" s="254" t="n"/>
      <c r="AC188" s="254" t="n"/>
      <c r="AD188" s="254" t="n"/>
      <c r="AE188" s="254" t="n"/>
      <c r="AF188" s="254" t="n"/>
      <c r="AG188" s="255" t="n"/>
      <c r="AH188" s="256" t="n"/>
      <c r="AI188" s="253" t="n"/>
    </row>
    <row r="189" hidden="1" outlineLevel="1" s="592">
      <c r="A189" s="241">
        <f>$A179&amp;"."&amp;10</f>
        <v/>
      </c>
      <c r="B189" s="241" t="n"/>
      <c r="C189" s="255">
        <f>$C$179</f>
        <v/>
      </c>
      <c r="D189" s="243" t="n"/>
      <c r="E189" s="244">
        <f>ROUNDUP(IF(J189=0,0,J189)*IF(K189&gt;0,K189,1)*IF(F189&gt;0,F189,1)*IF(H189&gt;0,H189,1),0)</f>
        <v/>
      </c>
      <c r="F189" s="245" t="n"/>
      <c r="G189" s="243" t="n"/>
      <c r="H189" s="245" t="n"/>
      <c r="I189" s="243" t="n"/>
      <c r="J189" s="246" t="n"/>
      <c r="K189" s="247" t="n"/>
      <c r="L189" s="248">
        <f>ROUNDUP(IF(Q189=0,0,Q189)*IF(R189&gt;0,R189,1)*IF(M189&gt;0,M189,1)*IF(O189&gt;0,O189,1),0)</f>
        <v/>
      </c>
      <c r="M189" s="245">
        <f>F189</f>
        <v/>
      </c>
      <c r="N189" s="243">
        <f>G189</f>
        <v/>
      </c>
      <c r="O189" s="245">
        <f>H189</f>
        <v/>
      </c>
      <c r="P189" s="243">
        <f>I189</f>
        <v/>
      </c>
      <c r="Q189" s="246">
        <f>J189</f>
        <v/>
      </c>
      <c r="R189" s="247">
        <f>K189</f>
        <v/>
      </c>
      <c r="S189" s="243" t="n"/>
      <c r="T189" s="249">
        <f>ROUNDUP(IF(Y189=0,0,Y189)*IF(Z189&gt;0,Z189,1)*IF(U189&gt;0,U189,1)*IF(W189&gt;0,W189,1),0)</f>
        <v/>
      </c>
      <c r="U189" s="245">
        <f>M189</f>
        <v/>
      </c>
      <c r="V189" s="243">
        <f>N189</f>
        <v/>
      </c>
      <c r="W189" s="245">
        <f>O189</f>
        <v/>
      </c>
      <c r="X189" s="243">
        <f>P189</f>
        <v/>
      </c>
      <c r="Y189" s="246">
        <f>Q189</f>
        <v/>
      </c>
      <c r="Z189" s="247">
        <f>R189</f>
        <v/>
      </c>
      <c r="AA189" s="243" t="n"/>
      <c r="AB189" s="254" t="n"/>
      <c r="AC189" s="254" t="n"/>
      <c r="AD189" s="254" t="n"/>
      <c r="AE189" s="254" t="n"/>
      <c r="AF189" s="254" t="n"/>
      <c r="AG189" s="255" t="n"/>
      <c r="AH189" s="256" t="n"/>
      <c r="AI189" s="253" t="n"/>
    </row>
    <row r="190" hidden="1" outlineLevel="1" s="592">
      <c r="A190" s="241">
        <f>$A179&amp;"."&amp;11</f>
        <v/>
      </c>
      <c r="B190" s="241" t="n"/>
      <c r="C190" s="255">
        <f>$C$179</f>
        <v/>
      </c>
      <c r="D190" s="243" t="n"/>
      <c r="E190" s="244">
        <f>ROUNDUP(IF(J190=0,0,J190)*IF(K190&gt;0,K190,1)*IF(F190&gt;0,F190,1)*IF(H190&gt;0,H190,1),0)</f>
        <v/>
      </c>
      <c r="F190" s="245" t="n"/>
      <c r="G190" s="243" t="n"/>
      <c r="H190" s="245" t="n"/>
      <c r="I190" s="243" t="n"/>
      <c r="J190" s="246" t="n"/>
      <c r="K190" s="247" t="n"/>
      <c r="L190" s="248">
        <f>ROUNDUP(IF(Q190=0,0,Q190)*IF(R190&gt;0,R190,1)*IF(M190&gt;0,M190,1)*IF(O190&gt;0,O190,1),0)</f>
        <v/>
      </c>
      <c r="M190" s="245">
        <f>F190</f>
        <v/>
      </c>
      <c r="N190" s="243">
        <f>G190</f>
        <v/>
      </c>
      <c r="O190" s="245">
        <f>H190</f>
        <v/>
      </c>
      <c r="P190" s="243">
        <f>I190</f>
        <v/>
      </c>
      <c r="Q190" s="246">
        <f>J190</f>
        <v/>
      </c>
      <c r="R190" s="247">
        <f>K190</f>
        <v/>
      </c>
      <c r="S190" s="243" t="n"/>
      <c r="T190" s="249">
        <f>ROUNDUP(IF(Y190=0,0,Y190)*IF(Z190&gt;0,Z190,1)*IF(U190&gt;0,U190,1)*IF(W190&gt;0,W190,1),0)</f>
        <v/>
      </c>
      <c r="U190" s="245">
        <f>M190</f>
        <v/>
      </c>
      <c r="V190" s="243">
        <f>N190</f>
        <v/>
      </c>
      <c r="W190" s="245">
        <f>O190</f>
        <v/>
      </c>
      <c r="X190" s="243">
        <f>P190</f>
        <v/>
      </c>
      <c r="Y190" s="246">
        <f>Q190</f>
        <v/>
      </c>
      <c r="Z190" s="247">
        <f>R190</f>
        <v/>
      </c>
      <c r="AA190" s="243" t="n"/>
      <c r="AB190" s="254" t="n"/>
      <c r="AC190" s="254" t="n"/>
      <c r="AD190" s="254" t="n"/>
      <c r="AE190" s="254" t="n"/>
      <c r="AF190" s="254" t="n"/>
      <c r="AG190" s="255" t="n"/>
      <c r="AH190" s="256" t="n"/>
      <c r="AI190" s="253" t="n"/>
    </row>
    <row r="191" hidden="1" outlineLevel="1" s="592">
      <c r="A191" s="241">
        <f>$A179&amp;"."&amp;12</f>
        <v/>
      </c>
      <c r="B191" s="241" t="n"/>
      <c r="C191" s="255">
        <f>$C$179</f>
        <v/>
      </c>
      <c r="D191" s="243" t="n"/>
      <c r="E191" s="244">
        <f>ROUNDUP(IF(J191=0,0,J191)*IF(K191&gt;0,K191,1)*IF(F191&gt;0,F191,1)*IF(H191&gt;0,H191,1),0)</f>
        <v/>
      </c>
      <c r="F191" s="245" t="n"/>
      <c r="G191" s="243" t="n"/>
      <c r="H191" s="245" t="n"/>
      <c r="I191" s="243" t="n"/>
      <c r="J191" s="246" t="n"/>
      <c r="K191" s="247" t="n"/>
      <c r="L191" s="248">
        <f>ROUNDUP(IF(Q191=0,0,Q191)*IF(R191&gt;0,R191,1)*IF(M191&gt;0,M191,1)*IF(O191&gt;0,O191,1),0)</f>
        <v/>
      </c>
      <c r="M191" s="245">
        <f>F191</f>
        <v/>
      </c>
      <c r="N191" s="243">
        <f>G191</f>
        <v/>
      </c>
      <c r="O191" s="245">
        <f>H191</f>
        <v/>
      </c>
      <c r="P191" s="243">
        <f>I191</f>
        <v/>
      </c>
      <c r="Q191" s="246">
        <f>J191</f>
        <v/>
      </c>
      <c r="R191" s="247">
        <f>K191</f>
        <v/>
      </c>
      <c r="S191" s="243" t="n"/>
      <c r="T191" s="249">
        <f>ROUNDUP(IF(Y191=0,0,Y191)*IF(Z191&gt;0,Z191,1)*IF(U191&gt;0,U191,1)*IF(W191&gt;0,W191,1),0)</f>
        <v/>
      </c>
      <c r="U191" s="245">
        <f>M191</f>
        <v/>
      </c>
      <c r="V191" s="243">
        <f>N191</f>
        <v/>
      </c>
      <c r="W191" s="245">
        <f>O191</f>
        <v/>
      </c>
      <c r="X191" s="243">
        <f>P191</f>
        <v/>
      </c>
      <c r="Y191" s="246">
        <f>Q191</f>
        <v/>
      </c>
      <c r="Z191" s="247">
        <f>R191</f>
        <v/>
      </c>
      <c r="AA191" s="243" t="n"/>
      <c r="AB191" s="254" t="n"/>
      <c r="AC191" s="254" t="n"/>
      <c r="AD191" s="254" t="n"/>
      <c r="AE191" s="254" t="n"/>
      <c r="AF191" s="254" t="n"/>
      <c r="AG191" s="255" t="n"/>
      <c r="AH191" s="256" t="n"/>
      <c r="AI191" s="253" t="n"/>
    </row>
    <row r="192" hidden="1" outlineLevel="1" s="592">
      <c r="A192" s="241">
        <f>$A179&amp;"."&amp;13</f>
        <v/>
      </c>
      <c r="B192" s="241" t="n"/>
      <c r="C192" s="255">
        <f>$C$179</f>
        <v/>
      </c>
      <c r="D192" s="243" t="n"/>
      <c r="E192" s="244">
        <f>ROUNDUP(IF(J192=0,0,J192)*IF(K192&gt;0,K192,1)*IF(F192&gt;0,F192,1)*IF(H192&gt;0,H192,1),0)</f>
        <v/>
      </c>
      <c r="F192" s="245" t="n"/>
      <c r="G192" s="243" t="n"/>
      <c r="H192" s="245" t="n"/>
      <c r="I192" s="243" t="n"/>
      <c r="J192" s="246" t="n"/>
      <c r="K192" s="247" t="n"/>
      <c r="L192" s="248">
        <f>ROUNDUP(IF(Q192=0,0,Q192)*IF(R192&gt;0,R192,1)*IF(M192&gt;0,M192,1)*IF(O192&gt;0,O192,1),0)</f>
        <v/>
      </c>
      <c r="M192" s="245">
        <f>F192</f>
        <v/>
      </c>
      <c r="N192" s="243">
        <f>G192</f>
        <v/>
      </c>
      <c r="O192" s="245">
        <f>H192</f>
        <v/>
      </c>
      <c r="P192" s="243">
        <f>I192</f>
        <v/>
      </c>
      <c r="Q192" s="246">
        <f>J192</f>
        <v/>
      </c>
      <c r="R192" s="247">
        <f>K192</f>
        <v/>
      </c>
      <c r="S192" s="243" t="n"/>
      <c r="T192" s="249">
        <f>ROUNDUP(IF(Y192=0,0,Y192)*IF(Z192&gt;0,Z192,1)*IF(U192&gt;0,U192,1)*IF(W192&gt;0,W192,1),0)</f>
        <v/>
      </c>
      <c r="U192" s="245">
        <f>M192</f>
        <v/>
      </c>
      <c r="V192" s="243">
        <f>N192</f>
        <v/>
      </c>
      <c r="W192" s="245">
        <f>O192</f>
        <v/>
      </c>
      <c r="X192" s="243">
        <f>P192</f>
        <v/>
      </c>
      <c r="Y192" s="246">
        <f>Q192</f>
        <v/>
      </c>
      <c r="Z192" s="247">
        <f>R192</f>
        <v/>
      </c>
      <c r="AA192" s="243" t="n"/>
      <c r="AB192" s="254" t="n"/>
      <c r="AC192" s="254" t="n"/>
      <c r="AD192" s="254" t="n"/>
      <c r="AE192" s="254" t="n"/>
      <c r="AF192" s="254" t="n"/>
      <c r="AG192" s="255" t="n"/>
      <c r="AH192" s="256" t="n"/>
      <c r="AI192" s="253" t="n"/>
    </row>
    <row r="193" hidden="1" outlineLevel="1" s="592">
      <c r="A193" s="241">
        <f>$A179&amp;"."&amp;14</f>
        <v/>
      </c>
      <c r="B193" s="241" t="n"/>
      <c r="C193" s="255">
        <f>$C$179</f>
        <v/>
      </c>
      <c r="D193" s="243" t="n"/>
      <c r="E193" s="244">
        <f>ROUNDUP(IF(J193=0,0,J193)*IF(K193&gt;0,K193,1)*IF(F193&gt;0,F193,1)*IF(H193&gt;0,H193,1),0)</f>
        <v/>
      </c>
      <c r="F193" s="245" t="n"/>
      <c r="G193" s="243" t="n"/>
      <c r="H193" s="245" t="n"/>
      <c r="I193" s="243" t="n"/>
      <c r="J193" s="246" t="n"/>
      <c r="K193" s="247" t="n"/>
      <c r="L193" s="248">
        <f>ROUNDUP(IF(Q193=0,0,Q193)*IF(R193&gt;0,R193,1)*IF(M193&gt;0,M193,1)*IF(O193&gt;0,O193,1),0)</f>
        <v/>
      </c>
      <c r="M193" s="245">
        <f>F193</f>
        <v/>
      </c>
      <c r="N193" s="243">
        <f>G193</f>
        <v/>
      </c>
      <c r="O193" s="245">
        <f>H193</f>
        <v/>
      </c>
      <c r="P193" s="243">
        <f>I193</f>
        <v/>
      </c>
      <c r="Q193" s="246">
        <f>J193</f>
        <v/>
      </c>
      <c r="R193" s="247">
        <f>K193</f>
        <v/>
      </c>
      <c r="S193" s="243" t="n"/>
      <c r="T193" s="249">
        <f>ROUNDUP(IF(Y193=0,0,Y193)*IF(Z193&gt;0,Z193,1)*IF(U193&gt;0,U193,1)*IF(W193&gt;0,W193,1),0)</f>
        <v/>
      </c>
      <c r="U193" s="245">
        <f>M193</f>
        <v/>
      </c>
      <c r="V193" s="243">
        <f>N193</f>
        <v/>
      </c>
      <c r="W193" s="245">
        <f>O193</f>
        <v/>
      </c>
      <c r="X193" s="243">
        <f>P193</f>
        <v/>
      </c>
      <c r="Y193" s="246">
        <f>Q193</f>
        <v/>
      </c>
      <c r="Z193" s="247">
        <f>R193</f>
        <v/>
      </c>
      <c r="AA193" s="243" t="n"/>
      <c r="AB193" s="254" t="n"/>
      <c r="AC193" s="254" t="n"/>
      <c r="AD193" s="254" t="n"/>
      <c r="AE193" s="254" t="n"/>
      <c r="AF193" s="254" t="n"/>
      <c r="AG193" s="255" t="n"/>
      <c r="AH193" s="256" t="n"/>
      <c r="AI193" s="253" t="n"/>
    </row>
    <row r="194" hidden="1" outlineLevel="1" s="592">
      <c r="A194" s="241">
        <f>$A179&amp;"."&amp;15</f>
        <v/>
      </c>
      <c r="B194" s="241" t="n"/>
      <c r="C194" s="255">
        <f>$C$179</f>
        <v/>
      </c>
      <c r="D194" s="243" t="n"/>
      <c r="E194" s="244">
        <f>ROUNDUP(IF(J194=0,0,J194)*IF(K194&gt;0,K194,1)*IF(F194&gt;0,F194,1)*IF(H194&gt;0,H194,1),0)</f>
        <v/>
      </c>
      <c r="F194" s="245" t="n"/>
      <c r="G194" s="243" t="n"/>
      <c r="H194" s="245" t="n"/>
      <c r="I194" s="243" t="n"/>
      <c r="J194" s="246" t="n"/>
      <c r="K194" s="247" t="n"/>
      <c r="L194" s="248">
        <f>ROUNDUP(IF(Q194=0,0,Q194)*IF(R194&gt;0,R194,1)*IF(M194&gt;0,M194,1)*IF(O194&gt;0,O194,1),0)</f>
        <v/>
      </c>
      <c r="M194" s="245">
        <f>F194</f>
        <v/>
      </c>
      <c r="N194" s="243">
        <f>G194</f>
        <v/>
      </c>
      <c r="O194" s="245">
        <f>H194</f>
        <v/>
      </c>
      <c r="P194" s="243">
        <f>I194</f>
        <v/>
      </c>
      <c r="Q194" s="246">
        <f>J194</f>
        <v/>
      </c>
      <c r="R194" s="247">
        <f>K194</f>
        <v/>
      </c>
      <c r="S194" s="243" t="n"/>
      <c r="T194" s="249">
        <f>ROUNDUP(IF(Y194=0,0,Y194)*IF(Z194&gt;0,Z194,1)*IF(U194&gt;0,U194,1)*IF(W194&gt;0,W194,1),0)</f>
        <v/>
      </c>
      <c r="U194" s="245">
        <f>M194</f>
        <v/>
      </c>
      <c r="V194" s="243">
        <f>N194</f>
        <v/>
      </c>
      <c r="W194" s="245">
        <f>O194</f>
        <v/>
      </c>
      <c r="X194" s="243">
        <f>P194</f>
        <v/>
      </c>
      <c r="Y194" s="246">
        <f>Q194</f>
        <v/>
      </c>
      <c r="Z194" s="247">
        <f>R194</f>
        <v/>
      </c>
      <c r="AA194" s="243" t="n"/>
      <c r="AB194" s="254" t="n"/>
      <c r="AC194" s="254" t="n"/>
      <c r="AD194" s="254" t="n"/>
      <c r="AE194" s="254" t="n"/>
      <c r="AF194" s="254" t="n"/>
      <c r="AG194" s="255" t="n"/>
      <c r="AH194" s="256" t="n"/>
      <c r="AI194" s="253" t="n"/>
    </row>
    <row r="195" hidden="1" outlineLevel="1" s="592">
      <c r="A195" s="241">
        <f>$A179&amp;"."&amp;16</f>
        <v/>
      </c>
      <c r="B195" s="241" t="n"/>
      <c r="C195" s="255">
        <f>$C$179</f>
        <v/>
      </c>
      <c r="D195" s="243" t="n"/>
      <c r="E195" s="244">
        <f>ROUNDUP(IF(J195=0,0,J195)*IF(K195&gt;0,K195,1)*IF(F195&gt;0,F195,1)*IF(H195&gt;0,H195,1),0)</f>
        <v/>
      </c>
      <c r="F195" s="245" t="n"/>
      <c r="G195" s="243" t="n"/>
      <c r="H195" s="245" t="n"/>
      <c r="I195" s="243" t="n"/>
      <c r="J195" s="246" t="n"/>
      <c r="K195" s="247" t="n"/>
      <c r="L195" s="248">
        <f>ROUNDUP(IF(Q195=0,0,Q195)*IF(R195&gt;0,R195,1)*IF(M195&gt;0,M195,1)*IF(O195&gt;0,O195,1),0)</f>
        <v/>
      </c>
      <c r="M195" s="245">
        <f>F195</f>
        <v/>
      </c>
      <c r="N195" s="243">
        <f>G195</f>
        <v/>
      </c>
      <c r="O195" s="245">
        <f>H195</f>
        <v/>
      </c>
      <c r="P195" s="243">
        <f>I195</f>
        <v/>
      </c>
      <c r="Q195" s="246">
        <f>J195</f>
        <v/>
      </c>
      <c r="R195" s="247">
        <f>K195</f>
        <v/>
      </c>
      <c r="S195" s="243" t="n"/>
      <c r="T195" s="249">
        <f>ROUNDUP(IF(Y195=0,0,Y195)*IF(Z195&gt;0,Z195,1)*IF(U195&gt;0,U195,1)*IF(W195&gt;0,W195,1),0)</f>
        <v/>
      </c>
      <c r="U195" s="245">
        <f>M195</f>
        <v/>
      </c>
      <c r="V195" s="243">
        <f>N195</f>
        <v/>
      </c>
      <c r="W195" s="245">
        <f>O195</f>
        <v/>
      </c>
      <c r="X195" s="243">
        <f>P195</f>
        <v/>
      </c>
      <c r="Y195" s="246">
        <f>Q195</f>
        <v/>
      </c>
      <c r="Z195" s="247">
        <f>R195</f>
        <v/>
      </c>
      <c r="AA195" s="243" t="n"/>
      <c r="AB195" s="254" t="n"/>
      <c r="AC195" s="254" t="n"/>
      <c r="AD195" s="254" t="n"/>
      <c r="AE195" s="254" t="n"/>
      <c r="AF195" s="254" t="n"/>
      <c r="AG195" s="255" t="n"/>
      <c r="AH195" s="256" t="n"/>
      <c r="AI195" s="253" t="n"/>
    </row>
    <row r="196" hidden="1" outlineLevel="1" s="592">
      <c r="A196" s="241">
        <f>$A179&amp;"."&amp;17</f>
        <v/>
      </c>
      <c r="B196" s="241" t="n"/>
      <c r="C196" s="255">
        <f>$C$179</f>
        <v/>
      </c>
      <c r="D196" s="243" t="n"/>
      <c r="E196" s="244">
        <f>ROUNDUP(IF(J196=0,0,J196)*IF(K196&gt;0,K196,1)*IF(F196&gt;0,F196,1)*IF(H196&gt;0,H196,1),0)</f>
        <v/>
      </c>
      <c r="F196" s="245" t="n"/>
      <c r="G196" s="243" t="n"/>
      <c r="H196" s="245" t="n"/>
      <c r="I196" s="243" t="n"/>
      <c r="J196" s="246" t="n"/>
      <c r="K196" s="247" t="n"/>
      <c r="L196" s="248">
        <f>ROUNDUP(IF(Q196=0,0,Q196)*IF(R196&gt;0,R196,1)*IF(M196&gt;0,M196,1)*IF(O196&gt;0,O196,1),0)</f>
        <v/>
      </c>
      <c r="M196" s="245">
        <f>F196</f>
        <v/>
      </c>
      <c r="N196" s="243">
        <f>G196</f>
        <v/>
      </c>
      <c r="O196" s="245">
        <f>H196</f>
        <v/>
      </c>
      <c r="P196" s="243">
        <f>I196</f>
        <v/>
      </c>
      <c r="Q196" s="246">
        <f>J196</f>
        <v/>
      </c>
      <c r="R196" s="247">
        <f>K196</f>
        <v/>
      </c>
      <c r="S196" s="243" t="n"/>
      <c r="T196" s="249">
        <f>ROUNDUP(IF(Y196=0,0,Y196)*IF(Z196&gt;0,Z196,1)*IF(U196&gt;0,U196,1)*IF(W196&gt;0,W196,1),0)</f>
        <v/>
      </c>
      <c r="U196" s="245">
        <f>M196</f>
        <v/>
      </c>
      <c r="V196" s="243">
        <f>N196</f>
        <v/>
      </c>
      <c r="W196" s="245">
        <f>O196</f>
        <v/>
      </c>
      <c r="X196" s="243">
        <f>P196</f>
        <v/>
      </c>
      <c r="Y196" s="246">
        <f>Q196</f>
        <v/>
      </c>
      <c r="Z196" s="247">
        <f>R196</f>
        <v/>
      </c>
      <c r="AA196" s="243" t="n"/>
      <c r="AB196" s="254" t="n"/>
      <c r="AC196" s="254" t="n"/>
      <c r="AD196" s="254" t="n"/>
      <c r="AE196" s="254" t="n"/>
      <c r="AF196" s="254" t="n"/>
      <c r="AG196" s="255" t="n"/>
      <c r="AH196" s="256" t="n"/>
      <c r="AI196" s="253" t="n"/>
    </row>
    <row r="197" hidden="1" outlineLevel="1" s="592">
      <c r="A197" s="241">
        <f>$A179&amp;"."&amp;18</f>
        <v/>
      </c>
      <c r="B197" s="241" t="n"/>
      <c r="C197" s="255">
        <f>$C$179</f>
        <v/>
      </c>
      <c r="D197" s="243" t="n"/>
      <c r="E197" s="244">
        <f>ROUNDUP(IF(J197=0,0,J197)*IF(K197&gt;0,K197,1)*IF(F197&gt;0,F197,1)*IF(H197&gt;0,H197,1),0)</f>
        <v/>
      </c>
      <c r="F197" s="245" t="n"/>
      <c r="G197" s="243" t="n"/>
      <c r="H197" s="245" t="n"/>
      <c r="I197" s="243" t="n"/>
      <c r="J197" s="246" t="n"/>
      <c r="K197" s="247" t="n"/>
      <c r="L197" s="248">
        <f>ROUNDUP(IF(Q197=0,0,Q197)*IF(R197&gt;0,R197,1)*IF(M197&gt;0,M197,1)*IF(O197&gt;0,O197,1),0)</f>
        <v/>
      </c>
      <c r="M197" s="245">
        <f>F197</f>
        <v/>
      </c>
      <c r="N197" s="243">
        <f>G197</f>
        <v/>
      </c>
      <c r="O197" s="245">
        <f>H197</f>
        <v/>
      </c>
      <c r="P197" s="243">
        <f>I197</f>
        <v/>
      </c>
      <c r="Q197" s="246">
        <f>J197</f>
        <v/>
      </c>
      <c r="R197" s="247">
        <f>K197</f>
        <v/>
      </c>
      <c r="S197" s="243" t="n"/>
      <c r="T197" s="249">
        <f>ROUNDUP(IF(Y197=0,0,Y197)*IF(Z197&gt;0,Z197,1)*IF(U197&gt;0,U197,1)*IF(W197&gt;0,W197,1),0)</f>
        <v/>
      </c>
      <c r="U197" s="245">
        <f>M197</f>
        <v/>
      </c>
      <c r="V197" s="243">
        <f>N197</f>
        <v/>
      </c>
      <c r="W197" s="245">
        <f>O197</f>
        <v/>
      </c>
      <c r="X197" s="243">
        <f>P197</f>
        <v/>
      </c>
      <c r="Y197" s="246">
        <f>Q197</f>
        <v/>
      </c>
      <c r="Z197" s="247">
        <f>R197</f>
        <v/>
      </c>
      <c r="AA197" s="243" t="n"/>
      <c r="AB197" s="254" t="n"/>
      <c r="AC197" s="254" t="n"/>
      <c r="AD197" s="254" t="n"/>
      <c r="AE197" s="254" t="n"/>
      <c r="AF197" s="254" t="n"/>
      <c r="AG197" s="255" t="n"/>
      <c r="AH197" s="256" t="n"/>
      <c r="AI197" s="253" t="n"/>
    </row>
    <row r="198" hidden="1" outlineLevel="1" s="592">
      <c r="A198" s="241">
        <f>$A179&amp;"."&amp;19</f>
        <v/>
      </c>
      <c r="B198" s="241" t="n"/>
      <c r="C198" s="255">
        <f>$C$179</f>
        <v/>
      </c>
      <c r="D198" s="243" t="n"/>
      <c r="E198" s="244">
        <f>ROUNDUP(IF(J198=0,0,J198)*IF(K198&gt;0,K198,1)*IF(F198&gt;0,F198,1)*IF(H198&gt;0,H198,1),0)</f>
        <v/>
      </c>
      <c r="F198" s="245" t="n"/>
      <c r="G198" s="243" t="n"/>
      <c r="H198" s="245" t="n"/>
      <c r="I198" s="243" t="n"/>
      <c r="J198" s="246" t="n"/>
      <c r="K198" s="247" t="n"/>
      <c r="L198" s="248">
        <f>ROUNDUP(IF(Q198=0,0,Q198)*IF(R198&gt;0,R198,1)*IF(M198&gt;0,M198,1)*IF(O198&gt;0,O198,1),0)</f>
        <v/>
      </c>
      <c r="M198" s="245">
        <f>F198</f>
        <v/>
      </c>
      <c r="N198" s="243">
        <f>G198</f>
        <v/>
      </c>
      <c r="O198" s="245">
        <f>H198</f>
        <v/>
      </c>
      <c r="P198" s="243">
        <f>I198</f>
        <v/>
      </c>
      <c r="Q198" s="246">
        <f>J198</f>
        <v/>
      </c>
      <c r="R198" s="247">
        <f>K198</f>
        <v/>
      </c>
      <c r="S198" s="243" t="n"/>
      <c r="T198" s="249">
        <f>ROUNDUP(IF(Y198=0,0,Y198)*IF(Z198&gt;0,Z198,1)*IF(U198&gt;0,U198,1)*IF(W198&gt;0,W198,1),0)</f>
        <v/>
      </c>
      <c r="U198" s="245">
        <f>M198</f>
        <v/>
      </c>
      <c r="V198" s="243">
        <f>N198</f>
        <v/>
      </c>
      <c r="W198" s="245">
        <f>O198</f>
        <v/>
      </c>
      <c r="X198" s="243">
        <f>P198</f>
        <v/>
      </c>
      <c r="Y198" s="246">
        <f>Q198</f>
        <v/>
      </c>
      <c r="Z198" s="247">
        <f>R198</f>
        <v/>
      </c>
      <c r="AA198" s="243" t="n"/>
      <c r="AB198" s="254" t="n"/>
      <c r="AC198" s="254" t="n"/>
      <c r="AD198" s="254" t="n"/>
      <c r="AE198" s="254" t="n"/>
      <c r="AF198" s="254" t="n"/>
      <c r="AG198" s="255" t="n"/>
      <c r="AH198" s="256" t="n"/>
      <c r="AI198" s="253" t="n"/>
    </row>
    <row r="199" hidden="1" outlineLevel="1" s="592">
      <c r="A199" s="241">
        <f>$A179&amp;"."&amp;20</f>
        <v/>
      </c>
      <c r="B199" s="241" t="n"/>
      <c r="C199" s="255">
        <f>$C$179</f>
        <v/>
      </c>
      <c r="D199" s="243" t="n"/>
      <c r="E199" s="244">
        <f>ROUNDUP(IF(J199=0,0,J199)*IF(K199&gt;0,K199,1)*IF(F199&gt;0,F199,1)*IF(H199&gt;0,H199,1),0)</f>
        <v/>
      </c>
      <c r="F199" s="245" t="n"/>
      <c r="G199" s="243" t="n"/>
      <c r="H199" s="245" t="n"/>
      <c r="I199" s="243" t="n"/>
      <c r="J199" s="246" t="n"/>
      <c r="K199" s="247" t="n"/>
      <c r="L199" s="248">
        <f>ROUNDUP(IF(Q199=0,0,Q199)*IF(R199&gt;0,R199,1)*IF(M199&gt;0,M199,1)*IF(O199&gt;0,O199,1),0)</f>
        <v/>
      </c>
      <c r="M199" s="245">
        <f>F199</f>
        <v/>
      </c>
      <c r="N199" s="243">
        <f>G199</f>
        <v/>
      </c>
      <c r="O199" s="245">
        <f>H199</f>
        <v/>
      </c>
      <c r="P199" s="243">
        <f>I199</f>
        <v/>
      </c>
      <c r="Q199" s="246">
        <f>J199</f>
        <v/>
      </c>
      <c r="R199" s="247">
        <f>K199</f>
        <v/>
      </c>
      <c r="S199" s="243" t="n"/>
      <c r="T199" s="249">
        <f>ROUNDUP(IF(Y199=0,0,Y199)*IF(Z199&gt;0,Z199,1)*IF(U199&gt;0,U199,1)*IF(W199&gt;0,W199,1),0)</f>
        <v/>
      </c>
      <c r="U199" s="245">
        <f>M199</f>
        <v/>
      </c>
      <c r="V199" s="243">
        <f>N199</f>
        <v/>
      </c>
      <c r="W199" s="245">
        <f>O199</f>
        <v/>
      </c>
      <c r="X199" s="243">
        <f>P199</f>
        <v/>
      </c>
      <c r="Y199" s="246">
        <f>Q199</f>
        <v/>
      </c>
      <c r="Z199" s="247">
        <f>R199</f>
        <v/>
      </c>
      <c r="AA199" s="243" t="n"/>
      <c r="AB199" s="254" t="n"/>
      <c r="AC199" s="254" t="n"/>
      <c r="AD199" s="254" t="n"/>
      <c r="AE199" s="254" t="n"/>
      <c r="AF199" s="254" t="n"/>
      <c r="AG199" s="255" t="n"/>
      <c r="AH199" s="256" t="n"/>
      <c r="AI199" s="253" t="n"/>
    </row>
    <row r="200" collapsed="1" s="592">
      <c r="A200" s="257" t="n">
        <v>10</v>
      </c>
      <c r="B200" s="257">
        <f>IFERROR(__xludf.DUMMYFUNCTION("vlookup(C200,IMPORTRANGE(REF!$B$3,""FP!B:C""),2,0)"),"#N/A")</f>
        <v/>
      </c>
      <c r="C200" s="237" t="inlineStr">
        <is>
          <t>ชื่อกิจกรรมที่ 10</t>
        </is>
      </c>
      <c r="D200" s="232" t="n"/>
      <c r="E200" s="233">
        <f>SUM(E201:E220)</f>
        <v/>
      </c>
      <c r="F200" s="234" t="n"/>
      <c r="G200" s="235" t="n"/>
      <c r="H200" s="234" t="n"/>
      <c r="I200" s="235" t="n"/>
      <c r="J200" s="233" t="n"/>
      <c r="K200" s="236" t="n"/>
      <c r="L200" s="233">
        <f>SUM(L201:L220)</f>
        <v/>
      </c>
      <c r="M200" s="234" t="n"/>
      <c r="N200" s="235" t="n"/>
      <c r="O200" s="234" t="n"/>
      <c r="P200" s="235" t="n"/>
      <c r="Q200" s="233" t="n"/>
      <c r="R200" s="236" t="n"/>
      <c r="S200" s="235" t="n"/>
      <c r="T200" s="233">
        <f>SUM(T201:T220)</f>
        <v/>
      </c>
      <c r="U200" s="234" t="n"/>
      <c r="V200" s="235" t="n"/>
      <c r="W200" s="234" t="n"/>
      <c r="X200" s="235" t="n"/>
      <c r="Y200" s="233" t="n"/>
      <c r="Z200" s="236" t="n"/>
      <c r="AA200" s="235" t="n"/>
      <c r="AB200" s="237" t="n"/>
      <c r="AC200" s="237" t="n"/>
      <c r="AD200" s="237" t="n"/>
      <c r="AE200" s="237" t="n"/>
      <c r="AF200" s="237" t="n"/>
      <c r="AG200" s="238" t="b">
        <v>0</v>
      </c>
      <c r="AH200" s="239" t="n"/>
      <c r="AI200" s="253" t="n"/>
    </row>
    <row r="201" hidden="1" outlineLevel="1" s="592">
      <c r="A201" s="241">
        <f>$A200&amp;"."&amp;1</f>
        <v/>
      </c>
      <c r="B201" s="241" t="n"/>
      <c r="C201" s="255">
        <f>$C$200</f>
        <v/>
      </c>
      <c r="D201" s="243" t="n"/>
      <c r="E201" s="244">
        <f>ROUNDUP(IF(J201=0,0,J201)*IF(K201&gt;0,K201,1)*IF(F201&gt;0,F201,1)*IF(H201&gt;0,H201,1),0)</f>
        <v/>
      </c>
      <c r="F201" s="245" t="n"/>
      <c r="G201" s="243" t="n"/>
      <c r="H201" s="245" t="n"/>
      <c r="I201" s="243" t="n"/>
      <c r="J201" s="246" t="n"/>
      <c r="K201" s="247" t="n"/>
      <c r="L201" s="248">
        <f>ROUNDUP(IF(Q201=0,0,Q201)*IF(R201&gt;0,R201,1)*IF(M201&gt;0,M201,1)*IF(O201&gt;0,O201,1),0)</f>
        <v/>
      </c>
      <c r="M201" s="245">
        <f>F201</f>
        <v/>
      </c>
      <c r="N201" s="243">
        <f>G201</f>
        <v/>
      </c>
      <c r="O201" s="245">
        <f>H201</f>
        <v/>
      </c>
      <c r="P201" s="243">
        <f>I201</f>
        <v/>
      </c>
      <c r="Q201" s="246">
        <f>J201</f>
        <v/>
      </c>
      <c r="R201" s="247">
        <f>K201</f>
        <v/>
      </c>
      <c r="S201" s="243" t="n"/>
      <c r="T201" s="249">
        <f>ROUNDUP(IF(Y201=0,0,Y201)*IF(Z201&gt;0,Z201,1)*IF(U201&gt;0,U201,1)*IF(W201&gt;0,W201,1),0)</f>
        <v/>
      </c>
      <c r="U201" s="245">
        <f>M201</f>
        <v/>
      </c>
      <c r="V201" s="243">
        <f>N201</f>
        <v/>
      </c>
      <c r="W201" s="245">
        <f>O201</f>
        <v/>
      </c>
      <c r="X201" s="243">
        <f>P201</f>
        <v/>
      </c>
      <c r="Y201" s="246">
        <f>Q201</f>
        <v/>
      </c>
      <c r="Z201" s="247">
        <f>R201</f>
        <v/>
      </c>
      <c r="AA201" s="243" t="n"/>
      <c r="AB201" s="254" t="n"/>
      <c r="AC201" s="254" t="n"/>
      <c r="AD201" s="254" t="n"/>
      <c r="AE201" s="254" t="n"/>
      <c r="AF201" s="254" t="n"/>
      <c r="AG201" s="255" t="n"/>
      <c r="AH201" s="256" t="n"/>
      <c r="AI201" s="253" t="n"/>
    </row>
    <row r="202" hidden="1" outlineLevel="1" s="592">
      <c r="A202" s="241">
        <f>$A200&amp;"."&amp;2</f>
        <v/>
      </c>
      <c r="B202" s="241" t="n"/>
      <c r="C202" s="255">
        <f>$C$200</f>
        <v/>
      </c>
      <c r="D202" s="243" t="n"/>
      <c r="E202" s="244">
        <f>ROUNDUP(IF(J202=0,0,J202)*IF(K202&gt;0,K202,1)*IF(F202&gt;0,F202,1)*IF(H202&gt;0,H202,1),0)</f>
        <v/>
      </c>
      <c r="F202" s="245" t="n"/>
      <c r="G202" s="243" t="n"/>
      <c r="H202" s="245" t="n"/>
      <c r="I202" s="243" t="n"/>
      <c r="J202" s="246" t="n"/>
      <c r="K202" s="247" t="n"/>
      <c r="L202" s="248">
        <f>ROUNDUP(IF(Q202=0,0,Q202)*IF(R202&gt;0,R202,1)*IF(M202&gt;0,M202,1)*IF(O202&gt;0,O202,1),0)</f>
        <v/>
      </c>
      <c r="M202" s="245">
        <f>F202</f>
        <v/>
      </c>
      <c r="N202" s="243">
        <f>G202</f>
        <v/>
      </c>
      <c r="O202" s="245">
        <f>H202</f>
        <v/>
      </c>
      <c r="P202" s="243">
        <f>I202</f>
        <v/>
      </c>
      <c r="Q202" s="246">
        <f>J202</f>
        <v/>
      </c>
      <c r="R202" s="247">
        <f>K202</f>
        <v/>
      </c>
      <c r="S202" s="243" t="n"/>
      <c r="T202" s="249">
        <f>ROUNDUP(IF(Y202=0,0,Y202)*IF(Z202&gt;0,Z202,1)*IF(U202&gt;0,U202,1)*IF(W202&gt;0,W202,1),0)</f>
        <v/>
      </c>
      <c r="U202" s="245">
        <f>M202</f>
        <v/>
      </c>
      <c r="V202" s="243">
        <f>N202</f>
        <v/>
      </c>
      <c r="W202" s="245">
        <f>O202</f>
        <v/>
      </c>
      <c r="X202" s="243">
        <f>P202</f>
        <v/>
      </c>
      <c r="Y202" s="246">
        <f>Q202</f>
        <v/>
      </c>
      <c r="Z202" s="247">
        <f>R202</f>
        <v/>
      </c>
      <c r="AA202" s="243" t="n"/>
      <c r="AB202" s="254" t="n"/>
      <c r="AC202" s="254" t="n"/>
      <c r="AD202" s="254" t="n"/>
      <c r="AE202" s="254" t="n"/>
      <c r="AF202" s="254" t="n"/>
      <c r="AG202" s="255" t="n"/>
      <c r="AH202" s="256" t="n"/>
      <c r="AI202" s="253" t="n"/>
    </row>
    <row r="203" hidden="1" outlineLevel="1" s="592">
      <c r="A203" s="241">
        <f>$A200&amp;"."&amp;3</f>
        <v/>
      </c>
      <c r="B203" s="241" t="n"/>
      <c r="C203" s="255">
        <f>$C$200</f>
        <v/>
      </c>
      <c r="D203" s="243" t="n"/>
      <c r="E203" s="244">
        <f>ROUNDUP(IF(J203=0,0,J203)*IF(K203&gt;0,K203,1)*IF(F203&gt;0,F203,1)*IF(H203&gt;0,H203,1),0)</f>
        <v/>
      </c>
      <c r="F203" s="245" t="n"/>
      <c r="G203" s="243" t="n"/>
      <c r="H203" s="245" t="n"/>
      <c r="I203" s="243" t="n"/>
      <c r="J203" s="246" t="n"/>
      <c r="K203" s="247" t="n"/>
      <c r="L203" s="248">
        <f>ROUNDUP(IF(Q203=0,0,Q203)*IF(R203&gt;0,R203,1)*IF(M203&gt;0,M203,1)*IF(O203&gt;0,O203,1),0)</f>
        <v/>
      </c>
      <c r="M203" s="245">
        <f>F203</f>
        <v/>
      </c>
      <c r="N203" s="243">
        <f>G203</f>
        <v/>
      </c>
      <c r="O203" s="245">
        <f>H203</f>
        <v/>
      </c>
      <c r="P203" s="243">
        <f>I203</f>
        <v/>
      </c>
      <c r="Q203" s="246">
        <f>J203</f>
        <v/>
      </c>
      <c r="R203" s="247">
        <f>K203</f>
        <v/>
      </c>
      <c r="S203" s="243" t="n"/>
      <c r="T203" s="249">
        <f>ROUNDUP(IF(Y203=0,0,Y203)*IF(Z203&gt;0,Z203,1)*IF(U203&gt;0,U203,1)*IF(W203&gt;0,W203,1),0)</f>
        <v/>
      </c>
      <c r="U203" s="245">
        <f>M203</f>
        <v/>
      </c>
      <c r="V203" s="243">
        <f>N203</f>
        <v/>
      </c>
      <c r="W203" s="245">
        <f>O203</f>
        <v/>
      </c>
      <c r="X203" s="243">
        <f>P203</f>
        <v/>
      </c>
      <c r="Y203" s="246">
        <f>Q203</f>
        <v/>
      </c>
      <c r="Z203" s="247">
        <f>R203</f>
        <v/>
      </c>
      <c r="AA203" s="243" t="n"/>
      <c r="AB203" s="254" t="n"/>
      <c r="AC203" s="254" t="n"/>
      <c r="AD203" s="254" t="n"/>
      <c r="AE203" s="254" t="n"/>
      <c r="AF203" s="254" t="n"/>
      <c r="AG203" s="255" t="n"/>
      <c r="AH203" s="256" t="n"/>
      <c r="AI203" s="253" t="n"/>
    </row>
    <row r="204" hidden="1" outlineLevel="1" s="592">
      <c r="A204" s="241">
        <f>$A200&amp;"."&amp;4</f>
        <v/>
      </c>
      <c r="B204" s="241" t="n"/>
      <c r="C204" s="255">
        <f>$C$200</f>
        <v/>
      </c>
      <c r="D204" s="243" t="n"/>
      <c r="E204" s="244">
        <f>ROUNDUP(IF(J204=0,0,J204)*IF(K204&gt;0,K204,1)*IF(F204&gt;0,F204,1)*IF(H204&gt;0,H204,1),0)</f>
        <v/>
      </c>
      <c r="F204" s="245" t="n"/>
      <c r="G204" s="243" t="n"/>
      <c r="H204" s="245" t="n"/>
      <c r="I204" s="243" t="n"/>
      <c r="J204" s="246" t="n"/>
      <c r="K204" s="247" t="n"/>
      <c r="L204" s="248">
        <f>ROUNDUP(IF(Q204=0,0,Q204)*IF(R204&gt;0,R204,1)*IF(M204&gt;0,M204,1)*IF(O204&gt;0,O204,1),0)</f>
        <v/>
      </c>
      <c r="M204" s="245">
        <f>F204</f>
        <v/>
      </c>
      <c r="N204" s="243">
        <f>G204</f>
        <v/>
      </c>
      <c r="O204" s="245">
        <f>H204</f>
        <v/>
      </c>
      <c r="P204" s="243">
        <f>I204</f>
        <v/>
      </c>
      <c r="Q204" s="246">
        <f>J204</f>
        <v/>
      </c>
      <c r="R204" s="247">
        <f>K204</f>
        <v/>
      </c>
      <c r="S204" s="243" t="n"/>
      <c r="T204" s="249">
        <f>ROUNDUP(IF(Y204=0,0,Y204)*IF(Z204&gt;0,Z204,1)*IF(U204&gt;0,U204,1)*IF(W204&gt;0,W204,1),0)</f>
        <v/>
      </c>
      <c r="U204" s="245">
        <f>M204</f>
        <v/>
      </c>
      <c r="V204" s="243">
        <f>N204</f>
        <v/>
      </c>
      <c r="W204" s="245">
        <f>O204</f>
        <v/>
      </c>
      <c r="X204" s="243">
        <f>P204</f>
        <v/>
      </c>
      <c r="Y204" s="246">
        <f>Q204</f>
        <v/>
      </c>
      <c r="Z204" s="247">
        <f>R204</f>
        <v/>
      </c>
      <c r="AA204" s="243" t="n"/>
      <c r="AB204" s="254" t="n"/>
      <c r="AC204" s="254" t="n"/>
      <c r="AD204" s="254" t="n"/>
      <c r="AE204" s="254" t="n"/>
      <c r="AF204" s="254" t="n"/>
      <c r="AG204" s="255" t="n"/>
      <c r="AH204" s="256" t="n"/>
      <c r="AI204" s="253" t="n"/>
    </row>
    <row r="205" hidden="1" outlineLevel="1" s="592">
      <c r="A205" s="241">
        <f>$A200&amp;"."&amp;5</f>
        <v/>
      </c>
      <c r="B205" s="241" t="n"/>
      <c r="C205" s="255">
        <f>$C$200</f>
        <v/>
      </c>
      <c r="D205" s="243" t="n"/>
      <c r="E205" s="244">
        <f>ROUNDUP(IF(J205=0,0,J205)*IF(K205&gt;0,K205,1)*IF(F205&gt;0,F205,1)*IF(H205&gt;0,H205,1),0)</f>
        <v/>
      </c>
      <c r="F205" s="245" t="n"/>
      <c r="G205" s="243" t="n"/>
      <c r="H205" s="245" t="n"/>
      <c r="I205" s="243" t="n"/>
      <c r="J205" s="246" t="n"/>
      <c r="K205" s="247" t="n"/>
      <c r="L205" s="248">
        <f>ROUNDUP(IF(Q205=0,0,Q205)*IF(R205&gt;0,R205,1)*IF(M205&gt;0,M205,1)*IF(O205&gt;0,O205,1),0)</f>
        <v/>
      </c>
      <c r="M205" s="245">
        <f>F205</f>
        <v/>
      </c>
      <c r="N205" s="243">
        <f>G205</f>
        <v/>
      </c>
      <c r="O205" s="245">
        <f>H205</f>
        <v/>
      </c>
      <c r="P205" s="243">
        <f>I205</f>
        <v/>
      </c>
      <c r="Q205" s="246">
        <f>J205</f>
        <v/>
      </c>
      <c r="R205" s="247">
        <f>K205</f>
        <v/>
      </c>
      <c r="S205" s="243" t="n"/>
      <c r="T205" s="249">
        <f>ROUNDUP(IF(Y205=0,0,Y205)*IF(Z205&gt;0,Z205,1)*IF(U205&gt;0,U205,1)*IF(W205&gt;0,W205,1),0)</f>
        <v/>
      </c>
      <c r="U205" s="245">
        <f>M205</f>
        <v/>
      </c>
      <c r="V205" s="243">
        <f>N205</f>
        <v/>
      </c>
      <c r="W205" s="245">
        <f>O205</f>
        <v/>
      </c>
      <c r="X205" s="243">
        <f>P205</f>
        <v/>
      </c>
      <c r="Y205" s="246">
        <f>Q205</f>
        <v/>
      </c>
      <c r="Z205" s="247">
        <f>R205</f>
        <v/>
      </c>
      <c r="AA205" s="243" t="n"/>
      <c r="AB205" s="254" t="n"/>
      <c r="AC205" s="254" t="n"/>
      <c r="AD205" s="254" t="n"/>
      <c r="AE205" s="254" t="n"/>
      <c r="AF205" s="254" t="n"/>
      <c r="AG205" s="255" t="n"/>
      <c r="AH205" s="256" t="n"/>
      <c r="AI205" s="253" t="n"/>
    </row>
    <row r="206" hidden="1" outlineLevel="1" s="592">
      <c r="A206" s="241">
        <f>$A200&amp;"."&amp;6</f>
        <v/>
      </c>
      <c r="B206" s="241" t="n"/>
      <c r="C206" s="255">
        <f>$C$200</f>
        <v/>
      </c>
      <c r="D206" s="243" t="n"/>
      <c r="E206" s="244">
        <f>ROUNDUP(IF(J206=0,0,J206)*IF(K206&gt;0,K206,1)*IF(F206&gt;0,F206,1)*IF(H206&gt;0,H206,1),0)</f>
        <v/>
      </c>
      <c r="F206" s="245" t="n"/>
      <c r="G206" s="243" t="n"/>
      <c r="H206" s="245" t="n"/>
      <c r="I206" s="243" t="n"/>
      <c r="J206" s="246" t="n"/>
      <c r="K206" s="247" t="n"/>
      <c r="L206" s="248">
        <f>ROUNDUP(IF(Q206=0,0,Q206)*IF(R206&gt;0,R206,1)*IF(M206&gt;0,M206,1)*IF(O206&gt;0,O206,1),0)</f>
        <v/>
      </c>
      <c r="M206" s="245">
        <f>F206</f>
        <v/>
      </c>
      <c r="N206" s="243">
        <f>G206</f>
        <v/>
      </c>
      <c r="O206" s="245">
        <f>H206</f>
        <v/>
      </c>
      <c r="P206" s="243">
        <f>I206</f>
        <v/>
      </c>
      <c r="Q206" s="246">
        <f>J206</f>
        <v/>
      </c>
      <c r="R206" s="247">
        <f>K206</f>
        <v/>
      </c>
      <c r="S206" s="243" t="n"/>
      <c r="T206" s="249">
        <f>ROUNDUP(IF(Y206=0,0,Y206)*IF(Z206&gt;0,Z206,1)*IF(U206&gt;0,U206,1)*IF(W206&gt;0,W206,1),0)</f>
        <v/>
      </c>
      <c r="U206" s="245">
        <f>M206</f>
        <v/>
      </c>
      <c r="V206" s="243">
        <f>N206</f>
        <v/>
      </c>
      <c r="W206" s="245">
        <f>O206</f>
        <v/>
      </c>
      <c r="X206" s="243">
        <f>P206</f>
        <v/>
      </c>
      <c r="Y206" s="246">
        <f>Q206</f>
        <v/>
      </c>
      <c r="Z206" s="247">
        <f>R206</f>
        <v/>
      </c>
      <c r="AA206" s="243" t="n"/>
      <c r="AB206" s="254" t="n"/>
      <c r="AC206" s="254" t="n"/>
      <c r="AD206" s="254" t="n"/>
      <c r="AE206" s="254" t="n"/>
      <c r="AF206" s="254" t="n"/>
      <c r="AG206" s="255" t="n"/>
      <c r="AH206" s="256" t="n"/>
      <c r="AI206" s="253" t="n"/>
    </row>
    <row r="207" hidden="1" outlineLevel="1" s="592">
      <c r="A207" s="241">
        <f>$A200&amp;"."&amp;7</f>
        <v/>
      </c>
      <c r="B207" s="241" t="n"/>
      <c r="C207" s="255">
        <f>$C$200</f>
        <v/>
      </c>
      <c r="D207" s="243" t="n"/>
      <c r="E207" s="244">
        <f>ROUNDUP(IF(J207=0,0,J207)*IF(K207&gt;0,K207,1)*IF(F207&gt;0,F207,1)*IF(H207&gt;0,H207,1),0)</f>
        <v/>
      </c>
      <c r="F207" s="245" t="n"/>
      <c r="G207" s="243" t="n"/>
      <c r="H207" s="245" t="n"/>
      <c r="I207" s="243" t="n"/>
      <c r="J207" s="246" t="n"/>
      <c r="K207" s="247" t="n"/>
      <c r="L207" s="248">
        <f>ROUNDUP(IF(Q207=0,0,Q207)*IF(R207&gt;0,R207,1)*IF(M207&gt;0,M207,1)*IF(O207&gt;0,O207,1),0)</f>
        <v/>
      </c>
      <c r="M207" s="245">
        <f>F207</f>
        <v/>
      </c>
      <c r="N207" s="243">
        <f>G207</f>
        <v/>
      </c>
      <c r="O207" s="245">
        <f>H207</f>
        <v/>
      </c>
      <c r="P207" s="243">
        <f>I207</f>
        <v/>
      </c>
      <c r="Q207" s="246">
        <f>J207</f>
        <v/>
      </c>
      <c r="R207" s="247">
        <f>K207</f>
        <v/>
      </c>
      <c r="S207" s="243" t="n"/>
      <c r="T207" s="249">
        <f>ROUNDUP(IF(Y207=0,0,Y207)*IF(Z207&gt;0,Z207,1)*IF(U207&gt;0,U207,1)*IF(W207&gt;0,W207,1),0)</f>
        <v/>
      </c>
      <c r="U207" s="245">
        <f>M207</f>
        <v/>
      </c>
      <c r="V207" s="243">
        <f>N207</f>
        <v/>
      </c>
      <c r="W207" s="245">
        <f>O207</f>
        <v/>
      </c>
      <c r="X207" s="243">
        <f>P207</f>
        <v/>
      </c>
      <c r="Y207" s="246">
        <f>Q207</f>
        <v/>
      </c>
      <c r="Z207" s="247">
        <f>R207</f>
        <v/>
      </c>
      <c r="AA207" s="243" t="n"/>
      <c r="AB207" s="254" t="n"/>
      <c r="AC207" s="254" t="n"/>
      <c r="AD207" s="254" t="n"/>
      <c r="AE207" s="254" t="n"/>
      <c r="AF207" s="254" t="n"/>
      <c r="AG207" s="255" t="n"/>
      <c r="AH207" s="256" t="n"/>
      <c r="AI207" s="253" t="n"/>
    </row>
    <row r="208" hidden="1" outlineLevel="1" s="592">
      <c r="A208" s="241">
        <f>$A200&amp;"."&amp;8</f>
        <v/>
      </c>
      <c r="B208" s="241" t="n"/>
      <c r="C208" s="255">
        <f>$C$200</f>
        <v/>
      </c>
      <c r="D208" s="243" t="n"/>
      <c r="E208" s="244">
        <f>ROUNDUP(IF(J208=0,0,J208)*IF(K208&gt;0,K208,1)*IF(F208&gt;0,F208,1)*IF(H208&gt;0,H208,1),0)</f>
        <v/>
      </c>
      <c r="F208" s="245" t="n"/>
      <c r="G208" s="243" t="n"/>
      <c r="H208" s="245" t="n"/>
      <c r="I208" s="243" t="n"/>
      <c r="J208" s="246" t="n"/>
      <c r="K208" s="247" t="n"/>
      <c r="L208" s="248">
        <f>ROUNDUP(IF(Q208=0,0,Q208)*IF(R208&gt;0,R208,1)*IF(M208&gt;0,M208,1)*IF(O208&gt;0,O208,1),0)</f>
        <v/>
      </c>
      <c r="M208" s="245">
        <f>F208</f>
        <v/>
      </c>
      <c r="N208" s="243">
        <f>G208</f>
        <v/>
      </c>
      <c r="O208" s="245">
        <f>H208</f>
        <v/>
      </c>
      <c r="P208" s="243">
        <f>I208</f>
        <v/>
      </c>
      <c r="Q208" s="246">
        <f>J208</f>
        <v/>
      </c>
      <c r="R208" s="247">
        <f>K208</f>
        <v/>
      </c>
      <c r="S208" s="243" t="n"/>
      <c r="T208" s="249">
        <f>ROUNDUP(IF(Y208=0,0,Y208)*IF(Z208&gt;0,Z208,1)*IF(U208&gt;0,U208,1)*IF(W208&gt;0,W208,1),0)</f>
        <v/>
      </c>
      <c r="U208" s="245">
        <f>M208</f>
        <v/>
      </c>
      <c r="V208" s="243">
        <f>N208</f>
        <v/>
      </c>
      <c r="W208" s="245">
        <f>O208</f>
        <v/>
      </c>
      <c r="X208" s="243">
        <f>P208</f>
        <v/>
      </c>
      <c r="Y208" s="246">
        <f>Q208</f>
        <v/>
      </c>
      <c r="Z208" s="247">
        <f>R208</f>
        <v/>
      </c>
      <c r="AA208" s="243" t="n"/>
      <c r="AB208" s="254" t="n"/>
      <c r="AC208" s="254" t="n"/>
      <c r="AD208" s="254" t="n"/>
      <c r="AE208" s="254" t="n"/>
      <c r="AF208" s="254" t="n"/>
      <c r="AG208" s="255" t="n"/>
      <c r="AH208" s="256" t="n"/>
      <c r="AI208" s="253" t="n"/>
    </row>
    <row r="209" hidden="1" outlineLevel="1" s="592">
      <c r="A209" s="241">
        <f>$A200&amp;"."&amp;9</f>
        <v/>
      </c>
      <c r="B209" s="241" t="n"/>
      <c r="C209" s="255">
        <f>$C$200</f>
        <v/>
      </c>
      <c r="D209" s="243" t="n"/>
      <c r="E209" s="244">
        <f>ROUNDUP(IF(J209=0,0,J209)*IF(K209&gt;0,K209,1)*IF(F209&gt;0,F209,1)*IF(H209&gt;0,H209,1),0)</f>
        <v/>
      </c>
      <c r="F209" s="245" t="n"/>
      <c r="G209" s="243" t="n"/>
      <c r="H209" s="245" t="n"/>
      <c r="I209" s="243" t="n"/>
      <c r="J209" s="246" t="n"/>
      <c r="K209" s="247" t="n"/>
      <c r="L209" s="248">
        <f>ROUNDUP(IF(Q209=0,0,Q209)*IF(R209&gt;0,R209,1)*IF(M209&gt;0,M209,1)*IF(O209&gt;0,O209,1),0)</f>
        <v/>
      </c>
      <c r="M209" s="245">
        <f>F209</f>
        <v/>
      </c>
      <c r="N209" s="243">
        <f>G209</f>
        <v/>
      </c>
      <c r="O209" s="245">
        <f>H209</f>
        <v/>
      </c>
      <c r="P209" s="243">
        <f>I209</f>
        <v/>
      </c>
      <c r="Q209" s="246">
        <f>J209</f>
        <v/>
      </c>
      <c r="R209" s="247">
        <f>K209</f>
        <v/>
      </c>
      <c r="S209" s="243" t="n"/>
      <c r="T209" s="249">
        <f>ROUNDUP(IF(Y209=0,0,Y209)*IF(Z209&gt;0,Z209,1)*IF(U209&gt;0,U209,1)*IF(W209&gt;0,W209,1),0)</f>
        <v/>
      </c>
      <c r="U209" s="245">
        <f>M209</f>
        <v/>
      </c>
      <c r="V209" s="243">
        <f>N209</f>
        <v/>
      </c>
      <c r="W209" s="245">
        <f>O209</f>
        <v/>
      </c>
      <c r="X209" s="243">
        <f>P209</f>
        <v/>
      </c>
      <c r="Y209" s="246">
        <f>Q209</f>
        <v/>
      </c>
      <c r="Z209" s="247">
        <f>R209</f>
        <v/>
      </c>
      <c r="AA209" s="243" t="n"/>
      <c r="AB209" s="254" t="n"/>
      <c r="AC209" s="254" t="n"/>
      <c r="AD209" s="254" t="n"/>
      <c r="AE209" s="254" t="n"/>
      <c r="AF209" s="254" t="n"/>
      <c r="AG209" s="255" t="n"/>
      <c r="AH209" s="256" t="n"/>
      <c r="AI209" s="253" t="n"/>
    </row>
    <row r="210" hidden="1" outlineLevel="1" s="592">
      <c r="A210" s="241">
        <f>$A200&amp;"."&amp;10</f>
        <v/>
      </c>
      <c r="B210" s="241" t="n"/>
      <c r="C210" s="255">
        <f>$C$200</f>
        <v/>
      </c>
      <c r="D210" s="243" t="n"/>
      <c r="E210" s="244">
        <f>ROUNDUP(IF(J210=0,0,J210)*IF(K210&gt;0,K210,1)*IF(F210&gt;0,F210,1)*IF(H210&gt;0,H210,1),0)</f>
        <v/>
      </c>
      <c r="F210" s="245" t="n"/>
      <c r="G210" s="243" t="n"/>
      <c r="H210" s="245" t="n"/>
      <c r="I210" s="243" t="n"/>
      <c r="J210" s="246" t="n"/>
      <c r="K210" s="247" t="n"/>
      <c r="L210" s="248">
        <f>ROUNDUP(IF(Q210=0,0,Q210)*IF(R210&gt;0,R210,1)*IF(M210&gt;0,M210,1)*IF(O210&gt;0,O210,1),0)</f>
        <v/>
      </c>
      <c r="M210" s="245">
        <f>F210</f>
        <v/>
      </c>
      <c r="N210" s="243">
        <f>G210</f>
        <v/>
      </c>
      <c r="O210" s="245">
        <f>H210</f>
        <v/>
      </c>
      <c r="P210" s="243">
        <f>I210</f>
        <v/>
      </c>
      <c r="Q210" s="246">
        <f>J210</f>
        <v/>
      </c>
      <c r="R210" s="247">
        <f>K210</f>
        <v/>
      </c>
      <c r="S210" s="243" t="n"/>
      <c r="T210" s="249">
        <f>ROUNDUP(IF(Y210=0,0,Y210)*IF(Z210&gt;0,Z210,1)*IF(U210&gt;0,U210,1)*IF(W210&gt;0,W210,1),0)</f>
        <v/>
      </c>
      <c r="U210" s="245">
        <f>M210</f>
        <v/>
      </c>
      <c r="V210" s="243">
        <f>N210</f>
        <v/>
      </c>
      <c r="W210" s="245">
        <f>O210</f>
        <v/>
      </c>
      <c r="X210" s="243">
        <f>P210</f>
        <v/>
      </c>
      <c r="Y210" s="246">
        <f>Q210</f>
        <v/>
      </c>
      <c r="Z210" s="247">
        <f>R210</f>
        <v/>
      </c>
      <c r="AA210" s="243" t="n"/>
      <c r="AB210" s="254" t="n"/>
      <c r="AC210" s="254" t="n"/>
      <c r="AD210" s="254" t="n"/>
      <c r="AE210" s="254" t="n"/>
      <c r="AF210" s="254" t="n"/>
      <c r="AG210" s="255" t="n"/>
      <c r="AH210" s="256" t="n"/>
      <c r="AI210" s="253" t="n"/>
    </row>
    <row r="211" hidden="1" outlineLevel="1" s="592">
      <c r="A211" s="241">
        <f>$A200&amp;"."&amp;11</f>
        <v/>
      </c>
      <c r="B211" s="241" t="n"/>
      <c r="C211" s="255">
        <f>$C$200</f>
        <v/>
      </c>
      <c r="D211" s="243" t="n"/>
      <c r="E211" s="244">
        <f>ROUNDUP(IF(J211=0,0,J211)*IF(K211&gt;0,K211,1)*IF(F211&gt;0,F211,1)*IF(H211&gt;0,H211,1),0)</f>
        <v/>
      </c>
      <c r="F211" s="245" t="n"/>
      <c r="G211" s="243" t="n"/>
      <c r="H211" s="245" t="n"/>
      <c r="I211" s="243" t="n"/>
      <c r="J211" s="246" t="n"/>
      <c r="K211" s="247" t="n"/>
      <c r="L211" s="248">
        <f>ROUNDUP(IF(Q211=0,0,Q211)*IF(R211&gt;0,R211,1)*IF(M211&gt;0,M211,1)*IF(O211&gt;0,O211,1),0)</f>
        <v/>
      </c>
      <c r="M211" s="245">
        <f>F211</f>
        <v/>
      </c>
      <c r="N211" s="243">
        <f>G211</f>
        <v/>
      </c>
      <c r="O211" s="245">
        <f>H211</f>
        <v/>
      </c>
      <c r="P211" s="243">
        <f>I211</f>
        <v/>
      </c>
      <c r="Q211" s="246">
        <f>J211</f>
        <v/>
      </c>
      <c r="R211" s="247">
        <f>K211</f>
        <v/>
      </c>
      <c r="S211" s="243" t="n"/>
      <c r="T211" s="249">
        <f>ROUNDUP(IF(Y211=0,0,Y211)*IF(Z211&gt;0,Z211,1)*IF(U211&gt;0,U211,1)*IF(W211&gt;0,W211,1),0)</f>
        <v/>
      </c>
      <c r="U211" s="245">
        <f>M211</f>
        <v/>
      </c>
      <c r="V211" s="243">
        <f>N211</f>
        <v/>
      </c>
      <c r="W211" s="245">
        <f>O211</f>
        <v/>
      </c>
      <c r="X211" s="243">
        <f>P211</f>
        <v/>
      </c>
      <c r="Y211" s="246">
        <f>Q211</f>
        <v/>
      </c>
      <c r="Z211" s="247">
        <f>R211</f>
        <v/>
      </c>
      <c r="AA211" s="243" t="n"/>
      <c r="AB211" s="254" t="n"/>
      <c r="AC211" s="254" t="n"/>
      <c r="AD211" s="254" t="n"/>
      <c r="AE211" s="254" t="n"/>
      <c r="AF211" s="254" t="n"/>
      <c r="AG211" s="255" t="n"/>
      <c r="AH211" s="256" t="n"/>
      <c r="AI211" s="253" t="n"/>
    </row>
    <row r="212" hidden="1" outlineLevel="1" s="592">
      <c r="A212" s="241">
        <f>$A200&amp;"."&amp;12</f>
        <v/>
      </c>
      <c r="B212" s="241" t="n"/>
      <c r="C212" s="255">
        <f>$C$200</f>
        <v/>
      </c>
      <c r="D212" s="243" t="n"/>
      <c r="E212" s="244">
        <f>ROUNDUP(IF(J212=0,0,J212)*IF(K212&gt;0,K212,1)*IF(F212&gt;0,F212,1)*IF(H212&gt;0,H212,1),0)</f>
        <v/>
      </c>
      <c r="F212" s="245" t="n"/>
      <c r="G212" s="243" t="n"/>
      <c r="H212" s="245" t="n"/>
      <c r="I212" s="243" t="n"/>
      <c r="J212" s="246" t="n"/>
      <c r="K212" s="247" t="n"/>
      <c r="L212" s="248">
        <f>ROUNDUP(IF(Q212=0,0,Q212)*IF(R212&gt;0,R212,1)*IF(M212&gt;0,M212,1)*IF(O212&gt;0,O212,1),0)</f>
        <v/>
      </c>
      <c r="M212" s="245">
        <f>F212</f>
        <v/>
      </c>
      <c r="N212" s="243">
        <f>G212</f>
        <v/>
      </c>
      <c r="O212" s="245">
        <f>H212</f>
        <v/>
      </c>
      <c r="P212" s="243">
        <f>I212</f>
        <v/>
      </c>
      <c r="Q212" s="246">
        <f>J212</f>
        <v/>
      </c>
      <c r="R212" s="247">
        <f>K212</f>
        <v/>
      </c>
      <c r="S212" s="243" t="n"/>
      <c r="T212" s="249">
        <f>ROUNDUP(IF(Y212=0,0,Y212)*IF(Z212&gt;0,Z212,1)*IF(U212&gt;0,U212,1)*IF(W212&gt;0,W212,1),0)</f>
        <v/>
      </c>
      <c r="U212" s="245">
        <f>M212</f>
        <v/>
      </c>
      <c r="V212" s="243">
        <f>N212</f>
        <v/>
      </c>
      <c r="W212" s="245">
        <f>O212</f>
        <v/>
      </c>
      <c r="X212" s="243">
        <f>P212</f>
        <v/>
      </c>
      <c r="Y212" s="246">
        <f>Q212</f>
        <v/>
      </c>
      <c r="Z212" s="247">
        <f>R212</f>
        <v/>
      </c>
      <c r="AA212" s="243" t="n"/>
      <c r="AB212" s="254" t="n"/>
      <c r="AC212" s="254" t="n"/>
      <c r="AD212" s="254" t="n"/>
      <c r="AE212" s="254" t="n"/>
      <c r="AF212" s="254" t="n"/>
      <c r="AG212" s="255" t="n"/>
      <c r="AH212" s="256" t="n"/>
      <c r="AI212" s="253" t="n"/>
    </row>
    <row r="213" hidden="1" outlineLevel="1" s="592">
      <c r="A213" s="241">
        <f>$A200&amp;"."&amp;13</f>
        <v/>
      </c>
      <c r="B213" s="241" t="n"/>
      <c r="C213" s="255">
        <f>$C$200</f>
        <v/>
      </c>
      <c r="D213" s="243" t="n"/>
      <c r="E213" s="244">
        <f>ROUNDUP(IF(J213=0,0,J213)*IF(K213&gt;0,K213,1)*IF(F213&gt;0,F213,1)*IF(H213&gt;0,H213,1),0)</f>
        <v/>
      </c>
      <c r="F213" s="245" t="n"/>
      <c r="G213" s="243" t="n"/>
      <c r="H213" s="245" t="n"/>
      <c r="I213" s="243" t="n"/>
      <c r="J213" s="246" t="n"/>
      <c r="K213" s="247" t="n"/>
      <c r="L213" s="248">
        <f>ROUNDUP(IF(Q213=0,0,Q213)*IF(R213&gt;0,R213,1)*IF(M213&gt;0,M213,1)*IF(O213&gt;0,O213,1),0)</f>
        <v/>
      </c>
      <c r="M213" s="245">
        <f>F213</f>
        <v/>
      </c>
      <c r="N213" s="243">
        <f>G213</f>
        <v/>
      </c>
      <c r="O213" s="245">
        <f>H213</f>
        <v/>
      </c>
      <c r="P213" s="243">
        <f>I213</f>
        <v/>
      </c>
      <c r="Q213" s="246">
        <f>J213</f>
        <v/>
      </c>
      <c r="R213" s="247">
        <f>K213</f>
        <v/>
      </c>
      <c r="S213" s="243" t="n"/>
      <c r="T213" s="249">
        <f>ROUNDUP(IF(Y213=0,0,Y213)*IF(Z213&gt;0,Z213,1)*IF(U213&gt;0,U213,1)*IF(W213&gt;0,W213,1),0)</f>
        <v/>
      </c>
      <c r="U213" s="245">
        <f>M213</f>
        <v/>
      </c>
      <c r="V213" s="243">
        <f>N213</f>
        <v/>
      </c>
      <c r="W213" s="245">
        <f>O213</f>
        <v/>
      </c>
      <c r="X213" s="243">
        <f>P213</f>
        <v/>
      </c>
      <c r="Y213" s="246">
        <f>Q213</f>
        <v/>
      </c>
      <c r="Z213" s="247">
        <f>R213</f>
        <v/>
      </c>
      <c r="AA213" s="243" t="n"/>
      <c r="AB213" s="254" t="n"/>
      <c r="AC213" s="254" t="n"/>
      <c r="AD213" s="254" t="n"/>
      <c r="AE213" s="254" t="n"/>
      <c r="AF213" s="254" t="n"/>
      <c r="AG213" s="255" t="n"/>
      <c r="AH213" s="256" t="n"/>
      <c r="AI213" s="253" t="n"/>
    </row>
    <row r="214" hidden="1" outlineLevel="1" s="592">
      <c r="A214" s="241">
        <f>$A200&amp;"."&amp;14</f>
        <v/>
      </c>
      <c r="B214" s="241" t="n"/>
      <c r="C214" s="255">
        <f>$C$200</f>
        <v/>
      </c>
      <c r="D214" s="243" t="n"/>
      <c r="E214" s="244">
        <f>ROUNDUP(IF(J214=0,0,J214)*IF(K214&gt;0,K214,1)*IF(F214&gt;0,F214,1)*IF(H214&gt;0,H214,1),0)</f>
        <v/>
      </c>
      <c r="F214" s="245" t="n"/>
      <c r="G214" s="243" t="n"/>
      <c r="H214" s="245" t="n"/>
      <c r="I214" s="243" t="n"/>
      <c r="J214" s="246" t="n"/>
      <c r="K214" s="247" t="n"/>
      <c r="L214" s="248">
        <f>ROUNDUP(IF(Q214=0,0,Q214)*IF(R214&gt;0,R214,1)*IF(M214&gt;0,M214,1)*IF(O214&gt;0,O214,1),0)</f>
        <v/>
      </c>
      <c r="M214" s="245">
        <f>F214</f>
        <v/>
      </c>
      <c r="N214" s="243">
        <f>G214</f>
        <v/>
      </c>
      <c r="O214" s="245">
        <f>H214</f>
        <v/>
      </c>
      <c r="P214" s="243">
        <f>I214</f>
        <v/>
      </c>
      <c r="Q214" s="246">
        <f>J214</f>
        <v/>
      </c>
      <c r="R214" s="247">
        <f>K214</f>
        <v/>
      </c>
      <c r="S214" s="243" t="n"/>
      <c r="T214" s="249">
        <f>ROUNDUP(IF(Y214=0,0,Y214)*IF(Z214&gt;0,Z214,1)*IF(U214&gt;0,U214,1)*IF(W214&gt;0,W214,1),0)</f>
        <v/>
      </c>
      <c r="U214" s="245">
        <f>M214</f>
        <v/>
      </c>
      <c r="V214" s="243">
        <f>N214</f>
        <v/>
      </c>
      <c r="W214" s="245">
        <f>O214</f>
        <v/>
      </c>
      <c r="X214" s="243">
        <f>P214</f>
        <v/>
      </c>
      <c r="Y214" s="246">
        <f>Q214</f>
        <v/>
      </c>
      <c r="Z214" s="247">
        <f>R214</f>
        <v/>
      </c>
      <c r="AA214" s="243" t="n"/>
      <c r="AB214" s="254" t="n"/>
      <c r="AC214" s="254" t="n"/>
      <c r="AD214" s="254" t="n"/>
      <c r="AE214" s="254" t="n"/>
      <c r="AF214" s="254" t="n"/>
      <c r="AG214" s="255" t="n"/>
      <c r="AH214" s="256" t="n"/>
      <c r="AI214" s="253" t="n"/>
    </row>
    <row r="215" hidden="1" outlineLevel="1" s="592">
      <c r="A215" s="241">
        <f>$A200&amp;"."&amp;15</f>
        <v/>
      </c>
      <c r="B215" s="241" t="n"/>
      <c r="C215" s="255">
        <f>$C$200</f>
        <v/>
      </c>
      <c r="D215" s="243" t="n"/>
      <c r="E215" s="244">
        <f>ROUNDUP(IF(J215=0,0,J215)*IF(K215&gt;0,K215,1)*IF(F215&gt;0,F215,1)*IF(H215&gt;0,H215,1),0)</f>
        <v/>
      </c>
      <c r="F215" s="245" t="n"/>
      <c r="G215" s="243" t="n"/>
      <c r="H215" s="245" t="n"/>
      <c r="I215" s="243" t="n"/>
      <c r="J215" s="246" t="n"/>
      <c r="K215" s="247" t="n"/>
      <c r="L215" s="248">
        <f>ROUNDUP(IF(Q215=0,0,Q215)*IF(R215&gt;0,R215,1)*IF(M215&gt;0,M215,1)*IF(O215&gt;0,O215,1),0)</f>
        <v/>
      </c>
      <c r="M215" s="245">
        <f>F215</f>
        <v/>
      </c>
      <c r="N215" s="243">
        <f>G215</f>
        <v/>
      </c>
      <c r="O215" s="245">
        <f>H215</f>
        <v/>
      </c>
      <c r="P215" s="243">
        <f>I215</f>
        <v/>
      </c>
      <c r="Q215" s="246">
        <f>J215</f>
        <v/>
      </c>
      <c r="R215" s="247">
        <f>K215</f>
        <v/>
      </c>
      <c r="S215" s="243" t="n"/>
      <c r="T215" s="249">
        <f>ROUNDUP(IF(Y215=0,0,Y215)*IF(Z215&gt;0,Z215,1)*IF(U215&gt;0,U215,1)*IF(W215&gt;0,W215,1),0)</f>
        <v/>
      </c>
      <c r="U215" s="245">
        <f>M215</f>
        <v/>
      </c>
      <c r="V215" s="243">
        <f>N215</f>
        <v/>
      </c>
      <c r="W215" s="245">
        <f>O215</f>
        <v/>
      </c>
      <c r="X215" s="243">
        <f>P215</f>
        <v/>
      </c>
      <c r="Y215" s="246">
        <f>Q215</f>
        <v/>
      </c>
      <c r="Z215" s="247">
        <f>R215</f>
        <v/>
      </c>
      <c r="AA215" s="243" t="n"/>
      <c r="AB215" s="254" t="n"/>
      <c r="AC215" s="254" t="n"/>
      <c r="AD215" s="254" t="n"/>
      <c r="AE215" s="254" t="n"/>
      <c r="AF215" s="254" t="n"/>
      <c r="AG215" s="255" t="n"/>
      <c r="AH215" s="256" t="n"/>
      <c r="AI215" s="253" t="n"/>
    </row>
    <row r="216" hidden="1" outlineLevel="1" s="592">
      <c r="A216" s="241">
        <f>$A200&amp;"."&amp;16</f>
        <v/>
      </c>
      <c r="B216" s="241" t="n"/>
      <c r="C216" s="255">
        <f>$C$200</f>
        <v/>
      </c>
      <c r="D216" s="243" t="n"/>
      <c r="E216" s="244">
        <f>ROUNDUP(IF(J216=0,0,J216)*IF(K216&gt;0,K216,1)*IF(F216&gt;0,F216,1)*IF(H216&gt;0,H216,1),0)</f>
        <v/>
      </c>
      <c r="F216" s="245" t="n"/>
      <c r="G216" s="243" t="n"/>
      <c r="H216" s="245" t="n"/>
      <c r="I216" s="243" t="n"/>
      <c r="J216" s="246" t="n"/>
      <c r="K216" s="247" t="n"/>
      <c r="L216" s="248">
        <f>ROUNDUP(IF(Q216=0,0,Q216)*IF(R216&gt;0,R216,1)*IF(M216&gt;0,M216,1)*IF(O216&gt;0,O216,1),0)</f>
        <v/>
      </c>
      <c r="M216" s="245">
        <f>F216</f>
        <v/>
      </c>
      <c r="N216" s="243">
        <f>G216</f>
        <v/>
      </c>
      <c r="O216" s="245">
        <f>H216</f>
        <v/>
      </c>
      <c r="P216" s="243">
        <f>I216</f>
        <v/>
      </c>
      <c r="Q216" s="246">
        <f>J216</f>
        <v/>
      </c>
      <c r="R216" s="247">
        <f>K216</f>
        <v/>
      </c>
      <c r="S216" s="243" t="n"/>
      <c r="T216" s="249">
        <f>ROUNDUP(IF(Y216=0,0,Y216)*IF(Z216&gt;0,Z216,1)*IF(U216&gt;0,U216,1)*IF(W216&gt;0,W216,1),0)</f>
        <v/>
      </c>
      <c r="U216" s="245">
        <f>M216</f>
        <v/>
      </c>
      <c r="V216" s="243">
        <f>N216</f>
        <v/>
      </c>
      <c r="W216" s="245">
        <f>O216</f>
        <v/>
      </c>
      <c r="X216" s="243">
        <f>P216</f>
        <v/>
      </c>
      <c r="Y216" s="246">
        <f>Q216</f>
        <v/>
      </c>
      <c r="Z216" s="247">
        <f>R216</f>
        <v/>
      </c>
      <c r="AA216" s="243" t="n"/>
      <c r="AB216" s="254" t="n"/>
      <c r="AC216" s="254" t="n"/>
      <c r="AD216" s="254" t="n"/>
      <c r="AE216" s="254" t="n"/>
      <c r="AF216" s="254" t="n"/>
      <c r="AG216" s="255" t="n"/>
      <c r="AH216" s="256" t="n"/>
      <c r="AI216" s="253" t="n"/>
    </row>
    <row r="217" hidden="1" outlineLevel="1" s="592">
      <c r="A217" s="241">
        <f>$A200&amp;"."&amp;17</f>
        <v/>
      </c>
      <c r="B217" s="241" t="n"/>
      <c r="C217" s="255">
        <f>$C$200</f>
        <v/>
      </c>
      <c r="D217" s="243" t="n"/>
      <c r="E217" s="244">
        <f>ROUNDUP(IF(J217=0,0,J217)*IF(K217&gt;0,K217,1)*IF(F217&gt;0,F217,1)*IF(H217&gt;0,H217,1),0)</f>
        <v/>
      </c>
      <c r="F217" s="245" t="n"/>
      <c r="G217" s="243" t="n"/>
      <c r="H217" s="245" t="n"/>
      <c r="I217" s="243" t="n"/>
      <c r="J217" s="246" t="n"/>
      <c r="K217" s="247" t="n"/>
      <c r="L217" s="248">
        <f>ROUNDUP(IF(Q217=0,0,Q217)*IF(R217&gt;0,R217,1)*IF(M217&gt;0,M217,1)*IF(O217&gt;0,O217,1),0)</f>
        <v/>
      </c>
      <c r="M217" s="245">
        <f>F217</f>
        <v/>
      </c>
      <c r="N217" s="243">
        <f>G217</f>
        <v/>
      </c>
      <c r="O217" s="245">
        <f>H217</f>
        <v/>
      </c>
      <c r="P217" s="243">
        <f>I217</f>
        <v/>
      </c>
      <c r="Q217" s="246">
        <f>J217</f>
        <v/>
      </c>
      <c r="R217" s="247">
        <f>K217</f>
        <v/>
      </c>
      <c r="S217" s="243" t="n"/>
      <c r="T217" s="249">
        <f>ROUNDUP(IF(Y217=0,0,Y217)*IF(Z217&gt;0,Z217,1)*IF(U217&gt;0,U217,1)*IF(W217&gt;0,W217,1),0)</f>
        <v/>
      </c>
      <c r="U217" s="245">
        <f>M217</f>
        <v/>
      </c>
      <c r="V217" s="243">
        <f>N217</f>
        <v/>
      </c>
      <c r="W217" s="245">
        <f>O217</f>
        <v/>
      </c>
      <c r="X217" s="243">
        <f>P217</f>
        <v/>
      </c>
      <c r="Y217" s="246">
        <f>Q217</f>
        <v/>
      </c>
      <c r="Z217" s="247">
        <f>R217</f>
        <v/>
      </c>
      <c r="AA217" s="243" t="n"/>
      <c r="AB217" s="254" t="n"/>
      <c r="AC217" s="254" t="n"/>
      <c r="AD217" s="254" t="n"/>
      <c r="AE217" s="254" t="n"/>
      <c r="AF217" s="254" t="n"/>
      <c r="AG217" s="255" t="n"/>
      <c r="AH217" s="256" t="n"/>
      <c r="AI217" s="253" t="n"/>
    </row>
    <row r="218" hidden="1" outlineLevel="1" s="592">
      <c r="A218" s="241">
        <f>$A200&amp;"."&amp;18</f>
        <v/>
      </c>
      <c r="B218" s="241" t="n"/>
      <c r="C218" s="255">
        <f>$C$200</f>
        <v/>
      </c>
      <c r="D218" s="243" t="n"/>
      <c r="E218" s="244">
        <f>ROUNDUP(IF(J218=0,0,J218)*IF(K218&gt;0,K218,1)*IF(F218&gt;0,F218,1)*IF(H218&gt;0,H218,1),0)</f>
        <v/>
      </c>
      <c r="F218" s="245" t="n"/>
      <c r="G218" s="243" t="n"/>
      <c r="H218" s="245" t="n"/>
      <c r="I218" s="243" t="n"/>
      <c r="J218" s="246" t="n"/>
      <c r="K218" s="247" t="n"/>
      <c r="L218" s="248">
        <f>ROUNDUP(IF(Q218=0,0,Q218)*IF(R218&gt;0,R218,1)*IF(M218&gt;0,M218,1)*IF(O218&gt;0,O218,1),0)</f>
        <v/>
      </c>
      <c r="M218" s="245">
        <f>F218</f>
        <v/>
      </c>
      <c r="N218" s="243">
        <f>G218</f>
        <v/>
      </c>
      <c r="O218" s="245">
        <f>H218</f>
        <v/>
      </c>
      <c r="P218" s="243">
        <f>I218</f>
        <v/>
      </c>
      <c r="Q218" s="246">
        <f>J218</f>
        <v/>
      </c>
      <c r="R218" s="247">
        <f>K218</f>
        <v/>
      </c>
      <c r="S218" s="243" t="n"/>
      <c r="T218" s="249">
        <f>ROUNDUP(IF(Y218=0,0,Y218)*IF(Z218&gt;0,Z218,1)*IF(U218&gt;0,U218,1)*IF(W218&gt;0,W218,1),0)</f>
        <v/>
      </c>
      <c r="U218" s="245">
        <f>M218</f>
        <v/>
      </c>
      <c r="V218" s="243">
        <f>N218</f>
        <v/>
      </c>
      <c r="W218" s="245">
        <f>O218</f>
        <v/>
      </c>
      <c r="X218" s="243">
        <f>P218</f>
        <v/>
      </c>
      <c r="Y218" s="246">
        <f>Q218</f>
        <v/>
      </c>
      <c r="Z218" s="247">
        <f>R218</f>
        <v/>
      </c>
      <c r="AA218" s="243" t="n"/>
      <c r="AB218" s="254" t="n"/>
      <c r="AC218" s="254" t="n"/>
      <c r="AD218" s="254" t="n"/>
      <c r="AE218" s="254" t="n"/>
      <c r="AF218" s="254" t="n"/>
      <c r="AG218" s="255" t="n"/>
      <c r="AH218" s="256" t="n"/>
      <c r="AI218" s="253" t="n"/>
    </row>
    <row r="219" hidden="1" outlineLevel="1" s="592">
      <c r="A219" s="241">
        <f>$A200&amp;"."&amp;19</f>
        <v/>
      </c>
      <c r="B219" s="241" t="n"/>
      <c r="C219" s="255">
        <f>$C$200</f>
        <v/>
      </c>
      <c r="D219" s="243" t="n"/>
      <c r="E219" s="244">
        <f>ROUNDUP(IF(J219=0,0,J219)*IF(K219&gt;0,K219,1)*IF(F219&gt;0,F219,1)*IF(H219&gt;0,H219,1),0)</f>
        <v/>
      </c>
      <c r="F219" s="245" t="n"/>
      <c r="G219" s="243" t="n"/>
      <c r="H219" s="245" t="n"/>
      <c r="I219" s="243" t="n"/>
      <c r="J219" s="246" t="n"/>
      <c r="K219" s="247" t="n"/>
      <c r="L219" s="248">
        <f>ROUNDUP(IF(Q219=0,0,Q219)*IF(R219&gt;0,R219,1)*IF(M219&gt;0,M219,1)*IF(O219&gt;0,O219,1),0)</f>
        <v/>
      </c>
      <c r="M219" s="245">
        <f>F219</f>
        <v/>
      </c>
      <c r="N219" s="243">
        <f>G219</f>
        <v/>
      </c>
      <c r="O219" s="245">
        <f>H219</f>
        <v/>
      </c>
      <c r="P219" s="243">
        <f>I219</f>
        <v/>
      </c>
      <c r="Q219" s="246">
        <f>J219</f>
        <v/>
      </c>
      <c r="R219" s="247">
        <f>K219</f>
        <v/>
      </c>
      <c r="S219" s="243" t="n"/>
      <c r="T219" s="249">
        <f>ROUNDUP(IF(Y219=0,0,Y219)*IF(Z219&gt;0,Z219,1)*IF(U219&gt;0,U219,1)*IF(W219&gt;0,W219,1),0)</f>
        <v/>
      </c>
      <c r="U219" s="245">
        <f>M219</f>
        <v/>
      </c>
      <c r="V219" s="243">
        <f>N219</f>
        <v/>
      </c>
      <c r="W219" s="245">
        <f>O219</f>
        <v/>
      </c>
      <c r="X219" s="243">
        <f>P219</f>
        <v/>
      </c>
      <c r="Y219" s="246">
        <f>Q219</f>
        <v/>
      </c>
      <c r="Z219" s="247">
        <f>R219</f>
        <v/>
      </c>
      <c r="AA219" s="243" t="n"/>
      <c r="AB219" s="254" t="n"/>
      <c r="AC219" s="254" t="n"/>
      <c r="AD219" s="254" t="n"/>
      <c r="AE219" s="254" t="n"/>
      <c r="AF219" s="254" t="n"/>
      <c r="AG219" s="255" t="n"/>
      <c r="AH219" s="256" t="n"/>
      <c r="AI219" s="253" t="n"/>
    </row>
    <row r="220" hidden="1" outlineLevel="1" s="592">
      <c r="A220" s="241">
        <f>$A200&amp;"."&amp;20</f>
        <v/>
      </c>
      <c r="B220" s="241" t="n"/>
      <c r="C220" s="255">
        <f>$C$200</f>
        <v/>
      </c>
      <c r="D220" s="243" t="n"/>
      <c r="E220" s="244">
        <f>ROUNDUP(IF(J220=0,0,J220)*IF(K220&gt;0,K220,1)*IF(F220&gt;0,F220,1)*IF(H220&gt;0,H220,1),0)</f>
        <v/>
      </c>
      <c r="F220" s="245" t="n"/>
      <c r="G220" s="243" t="n"/>
      <c r="H220" s="245" t="n"/>
      <c r="I220" s="243" t="n"/>
      <c r="J220" s="246" t="n"/>
      <c r="K220" s="247" t="n"/>
      <c r="L220" s="248">
        <f>ROUNDUP(IF(Q220=0,0,Q220)*IF(R220&gt;0,R220,1)*IF(M220&gt;0,M220,1)*IF(O220&gt;0,O220,1),0)</f>
        <v/>
      </c>
      <c r="M220" s="245">
        <f>F220</f>
        <v/>
      </c>
      <c r="N220" s="243">
        <f>G220</f>
        <v/>
      </c>
      <c r="O220" s="245">
        <f>H220</f>
        <v/>
      </c>
      <c r="P220" s="243">
        <f>I220</f>
        <v/>
      </c>
      <c r="Q220" s="246">
        <f>J220</f>
        <v/>
      </c>
      <c r="R220" s="247">
        <f>K220</f>
        <v/>
      </c>
      <c r="S220" s="243" t="n"/>
      <c r="T220" s="249">
        <f>ROUNDUP(IF(Y220=0,0,Y220)*IF(Z220&gt;0,Z220,1)*IF(U220&gt;0,U220,1)*IF(W220&gt;0,W220,1),0)</f>
        <v/>
      </c>
      <c r="U220" s="245">
        <f>M220</f>
        <v/>
      </c>
      <c r="V220" s="243">
        <f>N220</f>
        <v/>
      </c>
      <c r="W220" s="245">
        <f>O220</f>
        <v/>
      </c>
      <c r="X220" s="243">
        <f>P220</f>
        <v/>
      </c>
      <c r="Y220" s="246">
        <f>Q220</f>
        <v/>
      </c>
      <c r="Z220" s="247">
        <f>R220</f>
        <v/>
      </c>
      <c r="AA220" s="243" t="n"/>
      <c r="AB220" s="254" t="n"/>
      <c r="AC220" s="254" t="n"/>
      <c r="AD220" s="254" t="n"/>
      <c r="AE220" s="254" t="n"/>
      <c r="AF220" s="254" t="n"/>
      <c r="AG220" s="255" t="n"/>
      <c r="AH220" s="256" t="n"/>
      <c r="AI220" s="253" t="n"/>
    </row>
    <row r="221" collapsed="1" s="592">
      <c r="A221" s="257" t="n">
        <v>11</v>
      </c>
      <c r="B221" s="257">
        <f>IFERROR(__xludf.DUMMYFUNCTION("vlookup(C221,IMPORTRANGE(REF!$B$3,""FP!B:C""),2,0)"),"#N/A")</f>
        <v/>
      </c>
      <c r="C221" s="237" t="inlineStr">
        <is>
          <t>ชื่อกิจกรรมที่ 11</t>
        </is>
      </c>
      <c r="D221" s="232" t="n"/>
      <c r="E221" s="233">
        <f>SUM(E222:E241)</f>
        <v/>
      </c>
      <c r="F221" s="234" t="n"/>
      <c r="G221" s="235" t="n"/>
      <c r="H221" s="234" t="n"/>
      <c r="I221" s="235" t="n"/>
      <c r="J221" s="233" t="n"/>
      <c r="K221" s="236" t="n"/>
      <c r="L221" s="233">
        <f>SUM(L222:L241)</f>
        <v/>
      </c>
      <c r="M221" s="234" t="n"/>
      <c r="N221" s="235" t="n"/>
      <c r="O221" s="234" t="n"/>
      <c r="P221" s="235" t="n"/>
      <c r="Q221" s="233" t="n"/>
      <c r="R221" s="236" t="n"/>
      <c r="S221" s="235" t="n"/>
      <c r="T221" s="233">
        <f>SUM(T222:T241)</f>
        <v/>
      </c>
      <c r="U221" s="234" t="n"/>
      <c r="V221" s="235" t="n"/>
      <c r="W221" s="234" t="n"/>
      <c r="X221" s="235" t="n"/>
      <c r="Y221" s="233" t="n"/>
      <c r="Z221" s="236" t="n"/>
      <c r="AA221" s="235" t="n"/>
      <c r="AB221" s="237" t="n"/>
      <c r="AC221" s="237" t="n"/>
      <c r="AD221" s="237" t="n"/>
      <c r="AE221" s="237" t="n"/>
      <c r="AF221" s="237" t="n"/>
      <c r="AG221" s="238" t="b">
        <v>0</v>
      </c>
      <c r="AH221" s="239" t="n"/>
      <c r="AI221" s="253" t="n"/>
    </row>
    <row r="222" hidden="1" outlineLevel="1" s="592">
      <c r="A222" s="241">
        <f>$A221&amp;"."&amp;1</f>
        <v/>
      </c>
      <c r="B222" s="241" t="n"/>
      <c r="C222" s="255">
        <f>$C$221</f>
        <v/>
      </c>
      <c r="D222" s="243" t="n"/>
      <c r="E222" s="244">
        <f>ROUNDUP(IF(J222=0,0,J222)*IF(K222&gt;0,K222,1)*IF(F222&gt;0,F222,1)*IF(H222&gt;0,H222,1),0)</f>
        <v/>
      </c>
      <c r="F222" s="245" t="n"/>
      <c r="G222" s="243" t="n"/>
      <c r="H222" s="245" t="n"/>
      <c r="I222" s="243" t="n"/>
      <c r="J222" s="246" t="n"/>
      <c r="K222" s="247" t="n"/>
      <c r="L222" s="248">
        <f>ROUNDUP(IF(Q222=0,0,Q222)*IF(R222&gt;0,R222,1)*IF(M222&gt;0,M222,1)*IF(O222&gt;0,O222,1),0)</f>
        <v/>
      </c>
      <c r="M222" s="245">
        <f>F222</f>
        <v/>
      </c>
      <c r="N222" s="243">
        <f>G222</f>
        <v/>
      </c>
      <c r="O222" s="245">
        <f>H222</f>
        <v/>
      </c>
      <c r="P222" s="243">
        <f>I222</f>
        <v/>
      </c>
      <c r="Q222" s="246">
        <f>J222</f>
        <v/>
      </c>
      <c r="R222" s="247">
        <f>K222</f>
        <v/>
      </c>
      <c r="S222" s="243" t="n"/>
      <c r="T222" s="249">
        <f>ROUNDUP(IF(Y222=0,0,Y222)*IF(Z222&gt;0,Z222,1)*IF(U222&gt;0,U222,1)*IF(W222&gt;0,W222,1),0)</f>
        <v/>
      </c>
      <c r="U222" s="245">
        <f>M222</f>
        <v/>
      </c>
      <c r="V222" s="243">
        <f>N222</f>
        <v/>
      </c>
      <c r="W222" s="245">
        <f>O222</f>
        <v/>
      </c>
      <c r="X222" s="243">
        <f>P222</f>
        <v/>
      </c>
      <c r="Y222" s="246">
        <f>Q222</f>
        <v/>
      </c>
      <c r="Z222" s="247">
        <f>R222</f>
        <v/>
      </c>
      <c r="AA222" s="243" t="n"/>
      <c r="AB222" s="254" t="n"/>
      <c r="AC222" s="254" t="n"/>
      <c r="AD222" s="254" t="n"/>
      <c r="AE222" s="254" t="n"/>
      <c r="AF222" s="254" t="n"/>
      <c r="AG222" s="255" t="n"/>
      <c r="AH222" s="256" t="n"/>
      <c r="AI222" s="253" t="n"/>
    </row>
    <row r="223" hidden="1" outlineLevel="1" s="592">
      <c r="A223" s="241">
        <f>$A221&amp;"."&amp;2</f>
        <v/>
      </c>
      <c r="B223" s="241" t="n"/>
      <c r="C223" s="255">
        <f>$C$221</f>
        <v/>
      </c>
      <c r="D223" s="243" t="n"/>
      <c r="E223" s="244">
        <f>ROUNDUP(IF(J223=0,0,J223)*IF(K223&gt;0,K223,1)*IF(F223&gt;0,F223,1)*IF(H223&gt;0,H223,1),0)</f>
        <v/>
      </c>
      <c r="F223" s="245" t="n"/>
      <c r="G223" s="243" t="n"/>
      <c r="H223" s="245" t="n"/>
      <c r="I223" s="243" t="n"/>
      <c r="J223" s="246" t="n"/>
      <c r="K223" s="247" t="n"/>
      <c r="L223" s="248">
        <f>ROUNDUP(IF(Q223=0,0,Q223)*IF(R223&gt;0,R223,1)*IF(M223&gt;0,M223,1)*IF(O223&gt;0,O223,1),0)</f>
        <v/>
      </c>
      <c r="M223" s="245">
        <f>F223</f>
        <v/>
      </c>
      <c r="N223" s="243">
        <f>G223</f>
        <v/>
      </c>
      <c r="O223" s="245">
        <f>H223</f>
        <v/>
      </c>
      <c r="P223" s="243">
        <f>I223</f>
        <v/>
      </c>
      <c r="Q223" s="246">
        <f>J223</f>
        <v/>
      </c>
      <c r="R223" s="247">
        <f>K223</f>
        <v/>
      </c>
      <c r="S223" s="243" t="n"/>
      <c r="T223" s="249">
        <f>ROUNDUP(IF(Y223=0,0,Y223)*IF(Z223&gt;0,Z223,1)*IF(U223&gt;0,U223,1)*IF(W223&gt;0,W223,1),0)</f>
        <v/>
      </c>
      <c r="U223" s="245">
        <f>M223</f>
        <v/>
      </c>
      <c r="V223" s="243">
        <f>N223</f>
        <v/>
      </c>
      <c r="W223" s="245">
        <f>O223</f>
        <v/>
      </c>
      <c r="X223" s="243">
        <f>P223</f>
        <v/>
      </c>
      <c r="Y223" s="246">
        <f>Q223</f>
        <v/>
      </c>
      <c r="Z223" s="247">
        <f>R223</f>
        <v/>
      </c>
      <c r="AA223" s="243" t="n"/>
      <c r="AB223" s="254" t="n"/>
      <c r="AC223" s="254" t="n"/>
      <c r="AD223" s="254" t="n"/>
      <c r="AE223" s="254" t="n"/>
      <c r="AF223" s="254" t="n"/>
      <c r="AG223" s="255" t="n"/>
      <c r="AH223" s="256" t="n"/>
      <c r="AI223" s="253" t="n"/>
    </row>
    <row r="224" hidden="1" outlineLevel="1" s="592">
      <c r="A224" s="241">
        <f>$A221&amp;"."&amp;3</f>
        <v/>
      </c>
      <c r="B224" s="241" t="n"/>
      <c r="C224" s="255">
        <f>$C$221</f>
        <v/>
      </c>
      <c r="D224" s="243" t="n"/>
      <c r="E224" s="244">
        <f>ROUNDUP(IF(J224=0,0,J224)*IF(K224&gt;0,K224,1)*IF(F224&gt;0,F224,1)*IF(H224&gt;0,H224,1),0)</f>
        <v/>
      </c>
      <c r="F224" s="245" t="n"/>
      <c r="G224" s="243" t="n"/>
      <c r="H224" s="245" t="n"/>
      <c r="I224" s="243" t="n"/>
      <c r="J224" s="246" t="n"/>
      <c r="K224" s="247" t="n"/>
      <c r="L224" s="248">
        <f>ROUNDUP(IF(Q224=0,0,Q224)*IF(R224&gt;0,R224,1)*IF(M224&gt;0,M224,1)*IF(O224&gt;0,O224,1),0)</f>
        <v/>
      </c>
      <c r="M224" s="245">
        <f>F224</f>
        <v/>
      </c>
      <c r="N224" s="243">
        <f>G224</f>
        <v/>
      </c>
      <c r="O224" s="245">
        <f>H224</f>
        <v/>
      </c>
      <c r="P224" s="243">
        <f>I224</f>
        <v/>
      </c>
      <c r="Q224" s="246">
        <f>J224</f>
        <v/>
      </c>
      <c r="R224" s="247">
        <f>K224</f>
        <v/>
      </c>
      <c r="S224" s="243" t="n"/>
      <c r="T224" s="249">
        <f>ROUNDUP(IF(Y224=0,0,Y224)*IF(Z224&gt;0,Z224,1)*IF(U224&gt;0,U224,1)*IF(W224&gt;0,W224,1),0)</f>
        <v/>
      </c>
      <c r="U224" s="245">
        <f>M224</f>
        <v/>
      </c>
      <c r="V224" s="243">
        <f>N224</f>
        <v/>
      </c>
      <c r="W224" s="245">
        <f>O224</f>
        <v/>
      </c>
      <c r="X224" s="243">
        <f>P224</f>
        <v/>
      </c>
      <c r="Y224" s="246">
        <f>Q224</f>
        <v/>
      </c>
      <c r="Z224" s="247">
        <f>R224</f>
        <v/>
      </c>
      <c r="AA224" s="243" t="n"/>
      <c r="AB224" s="254" t="n"/>
      <c r="AC224" s="254" t="n"/>
      <c r="AD224" s="254" t="n"/>
      <c r="AE224" s="254" t="n"/>
      <c r="AF224" s="254" t="n"/>
      <c r="AG224" s="255" t="n"/>
      <c r="AH224" s="256" t="n"/>
      <c r="AI224" s="253" t="n"/>
    </row>
    <row r="225" hidden="1" outlineLevel="1" s="592">
      <c r="A225" s="241">
        <f>$A221&amp;"."&amp;4</f>
        <v/>
      </c>
      <c r="B225" s="241" t="n"/>
      <c r="C225" s="255">
        <f>$C$221</f>
        <v/>
      </c>
      <c r="D225" s="243" t="n"/>
      <c r="E225" s="244">
        <f>ROUNDUP(IF(J225=0,0,J225)*IF(K225&gt;0,K225,1)*IF(F225&gt;0,F225,1)*IF(H225&gt;0,H225,1),0)</f>
        <v/>
      </c>
      <c r="F225" s="245" t="n"/>
      <c r="G225" s="243" t="n"/>
      <c r="H225" s="245" t="n"/>
      <c r="I225" s="243" t="n"/>
      <c r="J225" s="246" t="n"/>
      <c r="K225" s="247" t="n"/>
      <c r="L225" s="248">
        <f>ROUNDUP(IF(Q225=0,0,Q225)*IF(R225&gt;0,R225,1)*IF(M225&gt;0,M225,1)*IF(O225&gt;0,O225,1),0)</f>
        <v/>
      </c>
      <c r="M225" s="245">
        <f>F225</f>
        <v/>
      </c>
      <c r="N225" s="243">
        <f>G225</f>
        <v/>
      </c>
      <c r="O225" s="245">
        <f>H225</f>
        <v/>
      </c>
      <c r="P225" s="243">
        <f>I225</f>
        <v/>
      </c>
      <c r="Q225" s="246">
        <f>J225</f>
        <v/>
      </c>
      <c r="R225" s="247">
        <f>K225</f>
        <v/>
      </c>
      <c r="S225" s="243" t="n"/>
      <c r="T225" s="249">
        <f>ROUNDUP(IF(Y225=0,0,Y225)*IF(Z225&gt;0,Z225,1)*IF(U225&gt;0,U225,1)*IF(W225&gt;0,W225,1),0)</f>
        <v/>
      </c>
      <c r="U225" s="245">
        <f>M225</f>
        <v/>
      </c>
      <c r="V225" s="243">
        <f>N225</f>
        <v/>
      </c>
      <c r="W225" s="245">
        <f>O225</f>
        <v/>
      </c>
      <c r="X225" s="243">
        <f>P225</f>
        <v/>
      </c>
      <c r="Y225" s="246">
        <f>Q225</f>
        <v/>
      </c>
      <c r="Z225" s="247">
        <f>R225</f>
        <v/>
      </c>
      <c r="AA225" s="243" t="n"/>
      <c r="AB225" s="254" t="n"/>
      <c r="AC225" s="254" t="n"/>
      <c r="AD225" s="254" t="n"/>
      <c r="AE225" s="254" t="n"/>
      <c r="AF225" s="254" t="n"/>
      <c r="AG225" s="255" t="n"/>
      <c r="AH225" s="256" t="n"/>
      <c r="AI225" s="253" t="n"/>
    </row>
    <row r="226" hidden="1" outlineLevel="1" s="592">
      <c r="A226" s="241">
        <f>$A221&amp;"."&amp;5</f>
        <v/>
      </c>
      <c r="B226" s="241" t="n"/>
      <c r="C226" s="255">
        <f>$C$221</f>
        <v/>
      </c>
      <c r="D226" s="243" t="n"/>
      <c r="E226" s="244">
        <f>ROUNDUP(IF(J226=0,0,J226)*IF(K226&gt;0,K226,1)*IF(F226&gt;0,F226,1)*IF(H226&gt;0,H226,1),0)</f>
        <v/>
      </c>
      <c r="F226" s="245" t="n"/>
      <c r="G226" s="243" t="n"/>
      <c r="H226" s="245" t="n"/>
      <c r="I226" s="243" t="n"/>
      <c r="J226" s="246" t="n"/>
      <c r="K226" s="247" t="n"/>
      <c r="L226" s="248">
        <f>ROUNDUP(IF(Q226=0,0,Q226)*IF(R226&gt;0,R226,1)*IF(M226&gt;0,M226,1)*IF(O226&gt;0,O226,1),0)</f>
        <v/>
      </c>
      <c r="M226" s="245">
        <f>F226</f>
        <v/>
      </c>
      <c r="N226" s="243">
        <f>G226</f>
        <v/>
      </c>
      <c r="O226" s="245">
        <f>H226</f>
        <v/>
      </c>
      <c r="P226" s="243">
        <f>I226</f>
        <v/>
      </c>
      <c r="Q226" s="246">
        <f>J226</f>
        <v/>
      </c>
      <c r="R226" s="247">
        <f>K226</f>
        <v/>
      </c>
      <c r="S226" s="243" t="n"/>
      <c r="T226" s="249">
        <f>ROUNDUP(IF(Y226=0,0,Y226)*IF(Z226&gt;0,Z226,1)*IF(U226&gt;0,U226,1)*IF(W226&gt;0,W226,1),0)</f>
        <v/>
      </c>
      <c r="U226" s="245">
        <f>M226</f>
        <v/>
      </c>
      <c r="V226" s="243">
        <f>N226</f>
        <v/>
      </c>
      <c r="W226" s="245">
        <f>O226</f>
        <v/>
      </c>
      <c r="X226" s="243">
        <f>P226</f>
        <v/>
      </c>
      <c r="Y226" s="246">
        <f>Q226</f>
        <v/>
      </c>
      <c r="Z226" s="247">
        <f>R226</f>
        <v/>
      </c>
      <c r="AA226" s="243" t="n"/>
      <c r="AB226" s="254" t="n"/>
      <c r="AC226" s="254" t="n"/>
      <c r="AD226" s="254" t="n"/>
      <c r="AE226" s="254" t="n"/>
      <c r="AF226" s="254" t="n"/>
      <c r="AG226" s="255" t="n"/>
      <c r="AH226" s="256" t="n"/>
      <c r="AI226" s="253" t="n"/>
    </row>
    <row r="227" hidden="1" outlineLevel="1" s="592">
      <c r="A227" s="241">
        <f>$A221&amp;"."&amp;6</f>
        <v/>
      </c>
      <c r="B227" s="241" t="n"/>
      <c r="C227" s="255">
        <f>$C$221</f>
        <v/>
      </c>
      <c r="D227" s="243" t="n"/>
      <c r="E227" s="244">
        <f>ROUNDUP(IF(J227=0,0,J227)*IF(K227&gt;0,K227,1)*IF(F227&gt;0,F227,1)*IF(H227&gt;0,H227,1),0)</f>
        <v/>
      </c>
      <c r="F227" s="245" t="n"/>
      <c r="G227" s="243" t="n"/>
      <c r="H227" s="245" t="n"/>
      <c r="I227" s="243" t="n"/>
      <c r="J227" s="246" t="n"/>
      <c r="K227" s="247" t="n"/>
      <c r="L227" s="248">
        <f>ROUNDUP(IF(Q227=0,0,Q227)*IF(R227&gt;0,R227,1)*IF(M227&gt;0,M227,1)*IF(O227&gt;0,O227,1),0)</f>
        <v/>
      </c>
      <c r="M227" s="245">
        <f>F227</f>
        <v/>
      </c>
      <c r="N227" s="243">
        <f>G227</f>
        <v/>
      </c>
      <c r="O227" s="245">
        <f>H227</f>
        <v/>
      </c>
      <c r="P227" s="243">
        <f>I227</f>
        <v/>
      </c>
      <c r="Q227" s="246">
        <f>J227</f>
        <v/>
      </c>
      <c r="R227" s="247">
        <f>K227</f>
        <v/>
      </c>
      <c r="S227" s="243" t="n"/>
      <c r="T227" s="249">
        <f>ROUNDUP(IF(Y227=0,0,Y227)*IF(Z227&gt;0,Z227,1)*IF(U227&gt;0,U227,1)*IF(W227&gt;0,W227,1),0)</f>
        <v/>
      </c>
      <c r="U227" s="245">
        <f>M227</f>
        <v/>
      </c>
      <c r="V227" s="243">
        <f>N227</f>
        <v/>
      </c>
      <c r="W227" s="245">
        <f>O227</f>
        <v/>
      </c>
      <c r="X227" s="243">
        <f>P227</f>
        <v/>
      </c>
      <c r="Y227" s="246">
        <f>Q227</f>
        <v/>
      </c>
      <c r="Z227" s="247">
        <f>R227</f>
        <v/>
      </c>
      <c r="AA227" s="243" t="n"/>
      <c r="AB227" s="254" t="n"/>
      <c r="AC227" s="254" t="n"/>
      <c r="AD227" s="254" t="n"/>
      <c r="AE227" s="254" t="n"/>
      <c r="AF227" s="254" t="n"/>
      <c r="AG227" s="255" t="n"/>
      <c r="AH227" s="256" t="n"/>
      <c r="AI227" s="253" t="n"/>
    </row>
    <row r="228" hidden="1" outlineLevel="1" s="592">
      <c r="A228" s="241">
        <f>$A221&amp;"."&amp;7</f>
        <v/>
      </c>
      <c r="B228" s="241" t="n"/>
      <c r="C228" s="255">
        <f>$C$221</f>
        <v/>
      </c>
      <c r="D228" s="243" t="n"/>
      <c r="E228" s="244">
        <f>ROUNDUP(IF(J228=0,0,J228)*IF(K228&gt;0,K228,1)*IF(F228&gt;0,F228,1)*IF(H228&gt;0,H228,1),0)</f>
        <v/>
      </c>
      <c r="F228" s="245" t="n"/>
      <c r="G228" s="243" t="n"/>
      <c r="H228" s="245" t="n"/>
      <c r="I228" s="243" t="n"/>
      <c r="J228" s="246" t="n"/>
      <c r="K228" s="247" t="n"/>
      <c r="L228" s="248">
        <f>ROUNDUP(IF(Q228=0,0,Q228)*IF(R228&gt;0,R228,1)*IF(M228&gt;0,M228,1)*IF(O228&gt;0,O228,1),0)</f>
        <v/>
      </c>
      <c r="M228" s="245">
        <f>F228</f>
        <v/>
      </c>
      <c r="N228" s="243">
        <f>G228</f>
        <v/>
      </c>
      <c r="O228" s="245">
        <f>H228</f>
        <v/>
      </c>
      <c r="P228" s="243">
        <f>I228</f>
        <v/>
      </c>
      <c r="Q228" s="246">
        <f>J228</f>
        <v/>
      </c>
      <c r="R228" s="247">
        <f>K228</f>
        <v/>
      </c>
      <c r="S228" s="243" t="n"/>
      <c r="T228" s="249">
        <f>ROUNDUP(IF(Y228=0,0,Y228)*IF(Z228&gt;0,Z228,1)*IF(U228&gt;0,U228,1)*IF(W228&gt;0,W228,1),0)</f>
        <v/>
      </c>
      <c r="U228" s="245">
        <f>M228</f>
        <v/>
      </c>
      <c r="V228" s="243">
        <f>N228</f>
        <v/>
      </c>
      <c r="W228" s="245">
        <f>O228</f>
        <v/>
      </c>
      <c r="X228" s="243">
        <f>P228</f>
        <v/>
      </c>
      <c r="Y228" s="246">
        <f>Q228</f>
        <v/>
      </c>
      <c r="Z228" s="247">
        <f>R228</f>
        <v/>
      </c>
      <c r="AA228" s="243" t="n"/>
      <c r="AB228" s="254" t="n"/>
      <c r="AC228" s="254" t="n"/>
      <c r="AD228" s="254" t="n"/>
      <c r="AE228" s="254" t="n"/>
      <c r="AF228" s="254" t="n"/>
      <c r="AG228" s="255" t="n"/>
      <c r="AH228" s="256" t="n"/>
      <c r="AI228" s="253" t="n"/>
    </row>
    <row r="229" hidden="1" outlineLevel="1" s="592">
      <c r="A229" s="241">
        <f>$A221&amp;"."&amp;8</f>
        <v/>
      </c>
      <c r="B229" s="241" t="n"/>
      <c r="C229" s="255">
        <f>$C$221</f>
        <v/>
      </c>
      <c r="D229" s="243" t="n"/>
      <c r="E229" s="244">
        <f>ROUNDUP(IF(J229=0,0,J229)*IF(K229&gt;0,K229,1)*IF(F229&gt;0,F229,1)*IF(H229&gt;0,H229,1),0)</f>
        <v/>
      </c>
      <c r="F229" s="245" t="n"/>
      <c r="G229" s="243" t="n"/>
      <c r="H229" s="245" t="n"/>
      <c r="I229" s="243" t="n"/>
      <c r="J229" s="246" t="n"/>
      <c r="K229" s="247" t="n"/>
      <c r="L229" s="248">
        <f>ROUNDUP(IF(Q229=0,0,Q229)*IF(R229&gt;0,R229,1)*IF(M229&gt;0,M229,1)*IF(O229&gt;0,O229,1),0)</f>
        <v/>
      </c>
      <c r="M229" s="245">
        <f>F229</f>
        <v/>
      </c>
      <c r="N229" s="243">
        <f>G229</f>
        <v/>
      </c>
      <c r="O229" s="245">
        <f>H229</f>
        <v/>
      </c>
      <c r="P229" s="243">
        <f>I229</f>
        <v/>
      </c>
      <c r="Q229" s="246">
        <f>J229</f>
        <v/>
      </c>
      <c r="R229" s="247">
        <f>K229</f>
        <v/>
      </c>
      <c r="S229" s="243" t="n"/>
      <c r="T229" s="249">
        <f>ROUNDUP(IF(Y229=0,0,Y229)*IF(Z229&gt;0,Z229,1)*IF(U229&gt;0,U229,1)*IF(W229&gt;0,W229,1),0)</f>
        <v/>
      </c>
      <c r="U229" s="245">
        <f>M229</f>
        <v/>
      </c>
      <c r="V229" s="243">
        <f>N229</f>
        <v/>
      </c>
      <c r="W229" s="245">
        <f>O229</f>
        <v/>
      </c>
      <c r="X229" s="243">
        <f>P229</f>
        <v/>
      </c>
      <c r="Y229" s="246">
        <f>Q229</f>
        <v/>
      </c>
      <c r="Z229" s="247">
        <f>R229</f>
        <v/>
      </c>
      <c r="AA229" s="243" t="n"/>
      <c r="AB229" s="254" t="n"/>
      <c r="AC229" s="254" t="n"/>
      <c r="AD229" s="254" t="n"/>
      <c r="AE229" s="254" t="n"/>
      <c r="AF229" s="254" t="n"/>
      <c r="AG229" s="255" t="n"/>
      <c r="AH229" s="256" t="n"/>
      <c r="AI229" s="253" t="n"/>
    </row>
    <row r="230" hidden="1" outlineLevel="1" s="592">
      <c r="A230" s="241">
        <f>$A221&amp;"."&amp;9</f>
        <v/>
      </c>
      <c r="B230" s="241" t="n"/>
      <c r="C230" s="255">
        <f>$C$221</f>
        <v/>
      </c>
      <c r="D230" s="243" t="n"/>
      <c r="E230" s="244">
        <f>ROUNDUP(IF(J230=0,0,J230)*IF(K230&gt;0,K230,1)*IF(F230&gt;0,F230,1)*IF(H230&gt;0,H230,1),0)</f>
        <v/>
      </c>
      <c r="F230" s="245" t="n"/>
      <c r="G230" s="243" t="n"/>
      <c r="H230" s="245" t="n"/>
      <c r="I230" s="243" t="n"/>
      <c r="J230" s="246" t="n"/>
      <c r="K230" s="247" t="n"/>
      <c r="L230" s="248">
        <f>ROUNDUP(IF(Q230=0,0,Q230)*IF(R230&gt;0,R230,1)*IF(M230&gt;0,M230,1)*IF(O230&gt;0,O230,1),0)</f>
        <v/>
      </c>
      <c r="M230" s="245">
        <f>F230</f>
        <v/>
      </c>
      <c r="N230" s="243">
        <f>G230</f>
        <v/>
      </c>
      <c r="O230" s="245">
        <f>H230</f>
        <v/>
      </c>
      <c r="P230" s="243">
        <f>I230</f>
        <v/>
      </c>
      <c r="Q230" s="246">
        <f>J230</f>
        <v/>
      </c>
      <c r="R230" s="247">
        <f>K230</f>
        <v/>
      </c>
      <c r="S230" s="243" t="n"/>
      <c r="T230" s="249">
        <f>ROUNDUP(IF(Y230=0,0,Y230)*IF(Z230&gt;0,Z230,1)*IF(U230&gt;0,U230,1)*IF(W230&gt;0,W230,1),0)</f>
        <v/>
      </c>
      <c r="U230" s="245">
        <f>M230</f>
        <v/>
      </c>
      <c r="V230" s="243">
        <f>N230</f>
        <v/>
      </c>
      <c r="W230" s="245">
        <f>O230</f>
        <v/>
      </c>
      <c r="X230" s="243">
        <f>P230</f>
        <v/>
      </c>
      <c r="Y230" s="246">
        <f>Q230</f>
        <v/>
      </c>
      <c r="Z230" s="247">
        <f>R230</f>
        <v/>
      </c>
      <c r="AA230" s="243" t="n"/>
      <c r="AB230" s="254" t="n"/>
      <c r="AC230" s="254" t="n"/>
      <c r="AD230" s="254" t="n"/>
      <c r="AE230" s="254" t="n"/>
      <c r="AF230" s="254" t="n"/>
      <c r="AG230" s="255" t="n"/>
      <c r="AH230" s="256" t="n"/>
      <c r="AI230" s="253" t="n"/>
    </row>
    <row r="231" hidden="1" outlineLevel="1" s="592">
      <c r="A231" s="241">
        <f>$A221&amp;"."&amp;10</f>
        <v/>
      </c>
      <c r="B231" s="241" t="n"/>
      <c r="C231" s="255">
        <f>$C$221</f>
        <v/>
      </c>
      <c r="D231" s="243" t="n"/>
      <c r="E231" s="244">
        <f>ROUNDUP(IF(J231=0,0,J231)*IF(K231&gt;0,K231,1)*IF(F231&gt;0,F231,1)*IF(H231&gt;0,H231,1),0)</f>
        <v/>
      </c>
      <c r="F231" s="245" t="n"/>
      <c r="G231" s="243" t="n"/>
      <c r="H231" s="245" t="n"/>
      <c r="I231" s="243" t="n"/>
      <c r="J231" s="246" t="n"/>
      <c r="K231" s="247" t="n"/>
      <c r="L231" s="248">
        <f>ROUNDUP(IF(Q231=0,0,Q231)*IF(R231&gt;0,R231,1)*IF(M231&gt;0,M231,1)*IF(O231&gt;0,O231,1),0)</f>
        <v/>
      </c>
      <c r="M231" s="245">
        <f>F231</f>
        <v/>
      </c>
      <c r="N231" s="243">
        <f>G231</f>
        <v/>
      </c>
      <c r="O231" s="245">
        <f>H231</f>
        <v/>
      </c>
      <c r="P231" s="243">
        <f>I231</f>
        <v/>
      </c>
      <c r="Q231" s="246">
        <f>J231</f>
        <v/>
      </c>
      <c r="R231" s="247">
        <f>K231</f>
        <v/>
      </c>
      <c r="S231" s="243" t="n"/>
      <c r="T231" s="249">
        <f>ROUNDUP(IF(Y231=0,0,Y231)*IF(Z231&gt;0,Z231,1)*IF(U231&gt;0,U231,1)*IF(W231&gt;0,W231,1),0)</f>
        <v/>
      </c>
      <c r="U231" s="245">
        <f>M231</f>
        <v/>
      </c>
      <c r="V231" s="243">
        <f>N231</f>
        <v/>
      </c>
      <c r="W231" s="245">
        <f>O231</f>
        <v/>
      </c>
      <c r="X231" s="243">
        <f>P231</f>
        <v/>
      </c>
      <c r="Y231" s="246">
        <f>Q231</f>
        <v/>
      </c>
      <c r="Z231" s="247">
        <f>R231</f>
        <v/>
      </c>
      <c r="AA231" s="243" t="n"/>
      <c r="AB231" s="254" t="n"/>
      <c r="AC231" s="254" t="n"/>
      <c r="AD231" s="254" t="n"/>
      <c r="AE231" s="254" t="n"/>
      <c r="AF231" s="254" t="n"/>
      <c r="AG231" s="255" t="n"/>
      <c r="AH231" s="256" t="n"/>
      <c r="AI231" s="253" t="n"/>
    </row>
    <row r="232" hidden="1" outlineLevel="1" s="592">
      <c r="A232" s="241">
        <f>$A221&amp;"."&amp;11</f>
        <v/>
      </c>
      <c r="B232" s="241" t="n"/>
      <c r="C232" s="255">
        <f>$C$221</f>
        <v/>
      </c>
      <c r="D232" s="243" t="n"/>
      <c r="E232" s="244">
        <f>ROUNDUP(IF(J232=0,0,J232)*IF(K232&gt;0,K232,1)*IF(F232&gt;0,F232,1)*IF(H232&gt;0,H232,1),0)</f>
        <v/>
      </c>
      <c r="F232" s="245" t="n"/>
      <c r="G232" s="243" t="n"/>
      <c r="H232" s="245" t="n"/>
      <c r="I232" s="243" t="n"/>
      <c r="J232" s="246" t="n"/>
      <c r="K232" s="247" t="n"/>
      <c r="L232" s="248">
        <f>ROUNDUP(IF(Q232=0,0,Q232)*IF(R232&gt;0,R232,1)*IF(M232&gt;0,M232,1)*IF(O232&gt;0,O232,1),0)</f>
        <v/>
      </c>
      <c r="M232" s="245">
        <f>F232</f>
        <v/>
      </c>
      <c r="N232" s="243">
        <f>G232</f>
        <v/>
      </c>
      <c r="O232" s="245">
        <f>H232</f>
        <v/>
      </c>
      <c r="P232" s="243">
        <f>I232</f>
        <v/>
      </c>
      <c r="Q232" s="246">
        <f>J232</f>
        <v/>
      </c>
      <c r="R232" s="247">
        <f>K232</f>
        <v/>
      </c>
      <c r="S232" s="243" t="n"/>
      <c r="T232" s="249">
        <f>ROUNDUP(IF(Y232=0,0,Y232)*IF(Z232&gt;0,Z232,1)*IF(U232&gt;0,U232,1)*IF(W232&gt;0,W232,1),0)</f>
        <v/>
      </c>
      <c r="U232" s="245">
        <f>M232</f>
        <v/>
      </c>
      <c r="V232" s="243">
        <f>N232</f>
        <v/>
      </c>
      <c r="W232" s="245">
        <f>O232</f>
        <v/>
      </c>
      <c r="X232" s="243">
        <f>P232</f>
        <v/>
      </c>
      <c r="Y232" s="246">
        <f>Q232</f>
        <v/>
      </c>
      <c r="Z232" s="247">
        <f>R232</f>
        <v/>
      </c>
      <c r="AA232" s="243" t="n"/>
      <c r="AB232" s="254" t="n"/>
      <c r="AC232" s="254" t="n"/>
      <c r="AD232" s="254" t="n"/>
      <c r="AE232" s="254" t="n"/>
      <c r="AF232" s="254" t="n"/>
      <c r="AG232" s="255" t="n"/>
      <c r="AH232" s="256" t="n"/>
      <c r="AI232" s="253" t="n"/>
    </row>
    <row r="233" hidden="1" outlineLevel="1" s="592">
      <c r="A233" s="241">
        <f>$A221&amp;"."&amp;12</f>
        <v/>
      </c>
      <c r="B233" s="241" t="n"/>
      <c r="C233" s="255">
        <f>$C$221</f>
        <v/>
      </c>
      <c r="D233" s="243" t="n"/>
      <c r="E233" s="244">
        <f>ROUNDUP(IF(J233=0,0,J233)*IF(K233&gt;0,K233,1)*IF(F233&gt;0,F233,1)*IF(H233&gt;0,H233,1),0)</f>
        <v/>
      </c>
      <c r="F233" s="245" t="n"/>
      <c r="G233" s="243" t="n"/>
      <c r="H233" s="245" t="n"/>
      <c r="I233" s="243" t="n"/>
      <c r="J233" s="246" t="n"/>
      <c r="K233" s="247" t="n"/>
      <c r="L233" s="248">
        <f>ROUNDUP(IF(Q233=0,0,Q233)*IF(R233&gt;0,R233,1)*IF(M233&gt;0,M233,1)*IF(O233&gt;0,O233,1),0)</f>
        <v/>
      </c>
      <c r="M233" s="245">
        <f>F233</f>
        <v/>
      </c>
      <c r="N233" s="243">
        <f>G233</f>
        <v/>
      </c>
      <c r="O233" s="245">
        <f>H233</f>
        <v/>
      </c>
      <c r="P233" s="243">
        <f>I233</f>
        <v/>
      </c>
      <c r="Q233" s="246">
        <f>J233</f>
        <v/>
      </c>
      <c r="R233" s="247">
        <f>K233</f>
        <v/>
      </c>
      <c r="S233" s="243" t="n"/>
      <c r="T233" s="249">
        <f>ROUNDUP(IF(Y233=0,0,Y233)*IF(Z233&gt;0,Z233,1)*IF(U233&gt;0,U233,1)*IF(W233&gt;0,W233,1),0)</f>
        <v/>
      </c>
      <c r="U233" s="245">
        <f>M233</f>
        <v/>
      </c>
      <c r="V233" s="243">
        <f>N233</f>
        <v/>
      </c>
      <c r="W233" s="245">
        <f>O233</f>
        <v/>
      </c>
      <c r="X233" s="243">
        <f>P233</f>
        <v/>
      </c>
      <c r="Y233" s="246">
        <f>Q233</f>
        <v/>
      </c>
      <c r="Z233" s="247">
        <f>R233</f>
        <v/>
      </c>
      <c r="AA233" s="243" t="n"/>
      <c r="AB233" s="254" t="n"/>
      <c r="AC233" s="254" t="n"/>
      <c r="AD233" s="254" t="n"/>
      <c r="AE233" s="254" t="n"/>
      <c r="AF233" s="254" t="n"/>
      <c r="AG233" s="255" t="n"/>
      <c r="AH233" s="256" t="n"/>
      <c r="AI233" s="253" t="n"/>
    </row>
    <row r="234" hidden="1" outlineLevel="1" s="592">
      <c r="A234" s="241">
        <f>$A221&amp;"."&amp;13</f>
        <v/>
      </c>
      <c r="B234" s="241" t="n"/>
      <c r="C234" s="255">
        <f>$C$221</f>
        <v/>
      </c>
      <c r="D234" s="243" t="n"/>
      <c r="E234" s="244">
        <f>ROUNDUP(IF(J234=0,0,J234)*IF(K234&gt;0,K234,1)*IF(F234&gt;0,F234,1)*IF(H234&gt;0,H234,1),0)</f>
        <v/>
      </c>
      <c r="F234" s="245" t="n"/>
      <c r="G234" s="243" t="n"/>
      <c r="H234" s="245" t="n"/>
      <c r="I234" s="243" t="n"/>
      <c r="J234" s="246" t="n"/>
      <c r="K234" s="247" t="n"/>
      <c r="L234" s="248">
        <f>ROUNDUP(IF(Q234=0,0,Q234)*IF(R234&gt;0,R234,1)*IF(M234&gt;0,M234,1)*IF(O234&gt;0,O234,1),0)</f>
        <v/>
      </c>
      <c r="M234" s="245">
        <f>F234</f>
        <v/>
      </c>
      <c r="N234" s="243">
        <f>G234</f>
        <v/>
      </c>
      <c r="O234" s="245">
        <f>H234</f>
        <v/>
      </c>
      <c r="P234" s="243">
        <f>I234</f>
        <v/>
      </c>
      <c r="Q234" s="246">
        <f>J234</f>
        <v/>
      </c>
      <c r="R234" s="247">
        <f>K234</f>
        <v/>
      </c>
      <c r="S234" s="243" t="n"/>
      <c r="T234" s="249">
        <f>ROUNDUP(IF(Y234=0,0,Y234)*IF(Z234&gt;0,Z234,1)*IF(U234&gt;0,U234,1)*IF(W234&gt;0,W234,1),0)</f>
        <v/>
      </c>
      <c r="U234" s="245">
        <f>M234</f>
        <v/>
      </c>
      <c r="V234" s="243">
        <f>N234</f>
        <v/>
      </c>
      <c r="W234" s="245">
        <f>O234</f>
        <v/>
      </c>
      <c r="X234" s="243">
        <f>P234</f>
        <v/>
      </c>
      <c r="Y234" s="246">
        <f>Q234</f>
        <v/>
      </c>
      <c r="Z234" s="247">
        <f>R234</f>
        <v/>
      </c>
      <c r="AA234" s="243" t="n"/>
      <c r="AB234" s="254" t="n"/>
      <c r="AC234" s="254" t="n"/>
      <c r="AD234" s="254" t="n"/>
      <c r="AE234" s="254" t="n"/>
      <c r="AF234" s="254" t="n"/>
      <c r="AG234" s="255" t="n"/>
      <c r="AH234" s="256" t="n"/>
      <c r="AI234" s="253" t="n"/>
    </row>
    <row r="235" hidden="1" outlineLevel="1" s="592">
      <c r="A235" s="241">
        <f>$A221&amp;"."&amp;14</f>
        <v/>
      </c>
      <c r="B235" s="241" t="n"/>
      <c r="C235" s="255">
        <f>$C$221</f>
        <v/>
      </c>
      <c r="D235" s="243" t="n"/>
      <c r="E235" s="244">
        <f>ROUNDUP(IF(J235=0,0,J235)*IF(K235&gt;0,K235,1)*IF(F235&gt;0,F235,1)*IF(H235&gt;0,H235,1),0)</f>
        <v/>
      </c>
      <c r="F235" s="245" t="n"/>
      <c r="G235" s="243" t="n"/>
      <c r="H235" s="245" t="n"/>
      <c r="I235" s="243" t="n"/>
      <c r="J235" s="246" t="n"/>
      <c r="K235" s="247" t="n"/>
      <c r="L235" s="248">
        <f>ROUNDUP(IF(Q235=0,0,Q235)*IF(R235&gt;0,R235,1)*IF(M235&gt;0,M235,1)*IF(O235&gt;0,O235,1),0)</f>
        <v/>
      </c>
      <c r="M235" s="245">
        <f>F235</f>
        <v/>
      </c>
      <c r="N235" s="243">
        <f>G235</f>
        <v/>
      </c>
      <c r="O235" s="245">
        <f>H235</f>
        <v/>
      </c>
      <c r="P235" s="243">
        <f>I235</f>
        <v/>
      </c>
      <c r="Q235" s="246">
        <f>J235</f>
        <v/>
      </c>
      <c r="R235" s="247">
        <f>K235</f>
        <v/>
      </c>
      <c r="S235" s="243" t="n"/>
      <c r="T235" s="249">
        <f>ROUNDUP(IF(Y235=0,0,Y235)*IF(Z235&gt;0,Z235,1)*IF(U235&gt;0,U235,1)*IF(W235&gt;0,W235,1),0)</f>
        <v/>
      </c>
      <c r="U235" s="245">
        <f>M235</f>
        <v/>
      </c>
      <c r="V235" s="243">
        <f>N235</f>
        <v/>
      </c>
      <c r="W235" s="245">
        <f>O235</f>
        <v/>
      </c>
      <c r="X235" s="243">
        <f>P235</f>
        <v/>
      </c>
      <c r="Y235" s="246">
        <f>Q235</f>
        <v/>
      </c>
      <c r="Z235" s="247">
        <f>R235</f>
        <v/>
      </c>
      <c r="AA235" s="243" t="n"/>
      <c r="AB235" s="254" t="n"/>
      <c r="AC235" s="254" t="n"/>
      <c r="AD235" s="254" t="n"/>
      <c r="AE235" s="254" t="n"/>
      <c r="AF235" s="254" t="n"/>
      <c r="AG235" s="255" t="n"/>
      <c r="AH235" s="256" t="n"/>
      <c r="AI235" s="253" t="n"/>
    </row>
    <row r="236" hidden="1" outlineLevel="1" s="592">
      <c r="A236" s="241">
        <f>$A221&amp;"."&amp;15</f>
        <v/>
      </c>
      <c r="B236" s="241" t="n"/>
      <c r="C236" s="255">
        <f>$C$221</f>
        <v/>
      </c>
      <c r="D236" s="243" t="n"/>
      <c r="E236" s="244">
        <f>ROUNDUP(IF(J236=0,0,J236)*IF(K236&gt;0,K236,1)*IF(F236&gt;0,F236,1)*IF(H236&gt;0,H236,1),0)</f>
        <v/>
      </c>
      <c r="F236" s="245" t="n"/>
      <c r="G236" s="243" t="n"/>
      <c r="H236" s="245" t="n"/>
      <c r="I236" s="243" t="n"/>
      <c r="J236" s="246" t="n"/>
      <c r="K236" s="247" t="n"/>
      <c r="L236" s="248">
        <f>ROUNDUP(IF(Q236=0,0,Q236)*IF(R236&gt;0,R236,1)*IF(M236&gt;0,M236,1)*IF(O236&gt;0,O236,1),0)</f>
        <v/>
      </c>
      <c r="M236" s="245">
        <f>F236</f>
        <v/>
      </c>
      <c r="N236" s="243">
        <f>G236</f>
        <v/>
      </c>
      <c r="O236" s="245">
        <f>H236</f>
        <v/>
      </c>
      <c r="P236" s="243">
        <f>I236</f>
        <v/>
      </c>
      <c r="Q236" s="246">
        <f>J236</f>
        <v/>
      </c>
      <c r="R236" s="247">
        <f>K236</f>
        <v/>
      </c>
      <c r="S236" s="243" t="n"/>
      <c r="T236" s="249">
        <f>ROUNDUP(IF(Y236=0,0,Y236)*IF(Z236&gt;0,Z236,1)*IF(U236&gt;0,U236,1)*IF(W236&gt;0,W236,1),0)</f>
        <v/>
      </c>
      <c r="U236" s="245">
        <f>M236</f>
        <v/>
      </c>
      <c r="V236" s="243">
        <f>N236</f>
        <v/>
      </c>
      <c r="W236" s="245">
        <f>O236</f>
        <v/>
      </c>
      <c r="X236" s="243">
        <f>P236</f>
        <v/>
      </c>
      <c r="Y236" s="246">
        <f>Q236</f>
        <v/>
      </c>
      <c r="Z236" s="247">
        <f>R236</f>
        <v/>
      </c>
      <c r="AA236" s="243" t="n"/>
      <c r="AB236" s="254" t="n"/>
      <c r="AC236" s="254" t="n"/>
      <c r="AD236" s="254" t="n"/>
      <c r="AE236" s="254" t="n"/>
      <c r="AF236" s="254" t="n"/>
      <c r="AG236" s="255" t="n"/>
      <c r="AH236" s="256" t="n"/>
      <c r="AI236" s="253" t="n"/>
    </row>
    <row r="237" hidden="1" outlineLevel="1" s="592">
      <c r="A237" s="241">
        <f>$A221&amp;"."&amp;16</f>
        <v/>
      </c>
      <c r="B237" s="241" t="n"/>
      <c r="C237" s="255">
        <f>$C$221</f>
        <v/>
      </c>
      <c r="D237" s="243" t="n"/>
      <c r="E237" s="244">
        <f>ROUNDUP(IF(J237=0,0,J237)*IF(K237&gt;0,K237,1)*IF(F237&gt;0,F237,1)*IF(H237&gt;0,H237,1),0)</f>
        <v/>
      </c>
      <c r="F237" s="245" t="n"/>
      <c r="G237" s="243" t="n"/>
      <c r="H237" s="245" t="n"/>
      <c r="I237" s="243" t="n"/>
      <c r="J237" s="246" t="n"/>
      <c r="K237" s="247" t="n"/>
      <c r="L237" s="248">
        <f>ROUNDUP(IF(Q237=0,0,Q237)*IF(R237&gt;0,R237,1)*IF(M237&gt;0,M237,1)*IF(O237&gt;0,O237,1),0)</f>
        <v/>
      </c>
      <c r="M237" s="245">
        <f>F237</f>
        <v/>
      </c>
      <c r="N237" s="243">
        <f>G237</f>
        <v/>
      </c>
      <c r="O237" s="245">
        <f>H237</f>
        <v/>
      </c>
      <c r="P237" s="243">
        <f>I237</f>
        <v/>
      </c>
      <c r="Q237" s="246">
        <f>J237</f>
        <v/>
      </c>
      <c r="R237" s="247">
        <f>K237</f>
        <v/>
      </c>
      <c r="S237" s="243" t="n"/>
      <c r="T237" s="249">
        <f>ROUNDUP(IF(Y237=0,0,Y237)*IF(Z237&gt;0,Z237,1)*IF(U237&gt;0,U237,1)*IF(W237&gt;0,W237,1),0)</f>
        <v/>
      </c>
      <c r="U237" s="245">
        <f>M237</f>
        <v/>
      </c>
      <c r="V237" s="243">
        <f>N237</f>
        <v/>
      </c>
      <c r="W237" s="245">
        <f>O237</f>
        <v/>
      </c>
      <c r="X237" s="243">
        <f>P237</f>
        <v/>
      </c>
      <c r="Y237" s="246">
        <f>Q237</f>
        <v/>
      </c>
      <c r="Z237" s="247">
        <f>R237</f>
        <v/>
      </c>
      <c r="AA237" s="243" t="n"/>
      <c r="AB237" s="254" t="n"/>
      <c r="AC237" s="254" t="n"/>
      <c r="AD237" s="254" t="n"/>
      <c r="AE237" s="254" t="n"/>
      <c r="AF237" s="254" t="n"/>
      <c r="AG237" s="255" t="n"/>
      <c r="AH237" s="256" t="n"/>
      <c r="AI237" s="253" t="n"/>
    </row>
    <row r="238" hidden="1" outlineLevel="1" s="592">
      <c r="A238" s="241">
        <f>$A221&amp;"."&amp;17</f>
        <v/>
      </c>
      <c r="B238" s="241" t="n"/>
      <c r="C238" s="255">
        <f>$C$221</f>
        <v/>
      </c>
      <c r="D238" s="243" t="n"/>
      <c r="E238" s="244">
        <f>ROUNDUP(IF(J238=0,0,J238)*IF(K238&gt;0,K238,1)*IF(F238&gt;0,F238,1)*IF(H238&gt;0,H238,1),0)</f>
        <v/>
      </c>
      <c r="F238" s="245" t="n"/>
      <c r="G238" s="243" t="n"/>
      <c r="H238" s="245" t="n"/>
      <c r="I238" s="243" t="n"/>
      <c r="J238" s="246" t="n"/>
      <c r="K238" s="247" t="n"/>
      <c r="L238" s="248">
        <f>ROUNDUP(IF(Q238=0,0,Q238)*IF(R238&gt;0,R238,1)*IF(M238&gt;0,M238,1)*IF(O238&gt;0,O238,1),0)</f>
        <v/>
      </c>
      <c r="M238" s="245">
        <f>F238</f>
        <v/>
      </c>
      <c r="N238" s="243">
        <f>G238</f>
        <v/>
      </c>
      <c r="O238" s="245">
        <f>H238</f>
        <v/>
      </c>
      <c r="P238" s="243">
        <f>I238</f>
        <v/>
      </c>
      <c r="Q238" s="246">
        <f>J238</f>
        <v/>
      </c>
      <c r="R238" s="247">
        <f>K238</f>
        <v/>
      </c>
      <c r="S238" s="243" t="n"/>
      <c r="T238" s="249">
        <f>ROUNDUP(IF(Y238=0,0,Y238)*IF(Z238&gt;0,Z238,1)*IF(U238&gt;0,U238,1)*IF(W238&gt;0,W238,1),0)</f>
        <v/>
      </c>
      <c r="U238" s="245">
        <f>M238</f>
        <v/>
      </c>
      <c r="V238" s="243">
        <f>N238</f>
        <v/>
      </c>
      <c r="W238" s="245">
        <f>O238</f>
        <v/>
      </c>
      <c r="X238" s="243">
        <f>P238</f>
        <v/>
      </c>
      <c r="Y238" s="246">
        <f>Q238</f>
        <v/>
      </c>
      <c r="Z238" s="247">
        <f>R238</f>
        <v/>
      </c>
      <c r="AA238" s="243" t="n"/>
      <c r="AB238" s="254" t="n"/>
      <c r="AC238" s="254" t="n"/>
      <c r="AD238" s="254" t="n"/>
      <c r="AE238" s="254" t="n"/>
      <c r="AF238" s="254" t="n"/>
      <c r="AG238" s="255" t="n"/>
      <c r="AH238" s="256" t="n"/>
      <c r="AI238" s="253" t="n"/>
    </row>
    <row r="239" hidden="1" outlineLevel="1" s="592">
      <c r="A239" s="241">
        <f>$A221&amp;"."&amp;18</f>
        <v/>
      </c>
      <c r="B239" s="241" t="n"/>
      <c r="C239" s="255">
        <f>$C$221</f>
        <v/>
      </c>
      <c r="D239" s="243" t="n"/>
      <c r="E239" s="244">
        <f>ROUNDUP(IF(J239=0,0,J239)*IF(K239&gt;0,K239,1)*IF(F239&gt;0,F239,1)*IF(H239&gt;0,H239,1),0)</f>
        <v/>
      </c>
      <c r="F239" s="245" t="n"/>
      <c r="G239" s="243" t="n"/>
      <c r="H239" s="245" t="n"/>
      <c r="I239" s="243" t="n"/>
      <c r="J239" s="246" t="n"/>
      <c r="K239" s="247" t="n"/>
      <c r="L239" s="248">
        <f>ROUNDUP(IF(Q239=0,0,Q239)*IF(R239&gt;0,R239,1)*IF(M239&gt;0,M239,1)*IF(O239&gt;0,O239,1),0)</f>
        <v/>
      </c>
      <c r="M239" s="245">
        <f>F239</f>
        <v/>
      </c>
      <c r="N239" s="243">
        <f>G239</f>
        <v/>
      </c>
      <c r="O239" s="245">
        <f>H239</f>
        <v/>
      </c>
      <c r="P239" s="243">
        <f>I239</f>
        <v/>
      </c>
      <c r="Q239" s="246">
        <f>J239</f>
        <v/>
      </c>
      <c r="R239" s="247">
        <f>K239</f>
        <v/>
      </c>
      <c r="S239" s="243" t="n"/>
      <c r="T239" s="249">
        <f>ROUNDUP(IF(Y239=0,0,Y239)*IF(Z239&gt;0,Z239,1)*IF(U239&gt;0,U239,1)*IF(W239&gt;0,W239,1),0)</f>
        <v/>
      </c>
      <c r="U239" s="245">
        <f>M239</f>
        <v/>
      </c>
      <c r="V239" s="243">
        <f>N239</f>
        <v/>
      </c>
      <c r="W239" s="245">
        <f>O239</f>
        <v/>
      </c>
      <c r="X239" s="243">
        <f>P239</f>
        <v/>
      </c>
      <c r="Y239" s="246">
        <f>Q239</f>
        <v/>
      </c>
      <c r="Z239" s="247">
        <f>R239</f>
        <v/>
      </c>
      <c r="AA239" s="243" t="n"/>
      <c r="AB239" s="254" t="n"/>
      <c r="AC239" s="254" t="n"/>
      <c r="AD239" s="254" t="n"/>
      <c r="AE239" s="254" t="n"/>
      <c r="AF239" s="254" t="n"/>
      <c r="AG239" s="255" t="n"/>
      <c r="AH239" s="256" t="n"/>
      <c r="AI239" s="253" t="n"/>
    </row>
    <row r="240" hidden="1" outlineLevel="1" s="592">
      <c r="A240" s="241">
        <f>$A221&amp;"."&amp;19</f>
        <v/>
      </c>
      <c r="B240" s="241" t="n"/>
      <c r="C240" s="255">
        <f>$C$221</f>
        <v/>
      </c>
      <c r="D240" s="243" t="n"/>
      <c r="E240" s="244">
        <f>ROUNDUP(IF(J240=0,0,J240)*IF(K240&gt;0,K240,1)*IF(F240&gt;0,F240,1)*IF(H240&gt;0,H240,1),0)</f>
        <v/>
      </c>
      <c r="F240" s="245" t="n"/>
      <c r="G240" s="243" t="n"/>
      <c r="H240" s="245" t="n"/>
      <c r="I240" s="243" t="n"/>
      <c r="J240" s="246" t="n"/>
      <c r="K240" s="247" t="n"/>
      <c r="L240" s="248">
        <f>ROUNDUP(IF(Q240=0,0,Q240)*IF(R240&gt;0,R240,1)*IF(M240&gt;0,M240,1)*IF(O240&gt;0,O240,1),0)</f>
        <v/>
      </c>
      <c r="M240" s="245">
        <f>F240</f>
        <v/>
      </c>
      <c r="N240" s="243">
        <f>G240</f>
        <v/>
      </c>
      <c r="O240" s="245">
        <f>H240</f>
        <v/>
      </c>
      <c r="P240" s="243">
        <f>I240</f>
        <v/>
      </c>
      <c r="Q240" s="246">
        <f>J240</f>
        <v/>
      </c>
      <c r="R240" s="247">
        <f>K240</f>
        <v/>
      </c>
      <c r="S240" s="243" t="n"/>
      <c r="T240" s="249">
        <f>ROUNDUP(IF(Y240=0,0,Y240)*IF(Z240&gt;0,Z240,1)*IF(U240&gt;0,U240,1)*IF(W240&gt;0,W240,1),0)</f>
        <v/>
      </c>
      <c r="U240" s="245">
        <f>M240</f>
        <v/>
      </c>
      <c r="V240" s="243">
        <f>N240</f>
        <v/>
      </c>
      <c r="W240" s="245">
        <f>O240</f>
        <v/>
      </c>
      <c r="X240" s="243">
        <f>P240</f>
        <v/>
      </c>
      <c r="Y240" s="246">
        <f>Q240</f>
        <v/>
      </c>
      <c r="Z240" s="247">
        <f>R240</f>
        <v/>
      </c>
      <c r="AA240" s="243" t="n"/>
      <c r="AB240" s="254" t="n"/>
      <c r="AC240" s="254" t="n"/>
      <c r="AD240" s="254" t="n"/>
      <c r="AE240" s="254" t="n"/>
      <c r="AF240" s="254" t="n"/>
      <c r="AG240" s="255" t="n"/>
      <c r="AH240" s="256" t="n"/>
      <c r="AI240" s="253" t="n"/>
    </row>
    <row r="241" hidden="1" outlineLevel="1" s="592">
      <c r="A241" s="241">
        <f>$A221&amp;"."&amp;20</f>
        <v/>
      </c>
      <c r="B241" s="241" t="n"/>
      <c r="C241" s="255">
        <f>$C$221</f>
        <v/>
      </c>
      <c r="D241" s="243" t="n"/>
      <c r="E241" s="244">
        <f>ROUNDUP(IF(J241=0,0,J241)*IF(K241&gt;0,K241,1)*IF(F241&gt;0,F241,1)*IF(H241&gt;0,H241,1),0)</f>
        <v/>
      </c>
      <c r="F241" s="245" t="n"/>
      <c r="G241" s="243" t="n"/>
      <c r="H241" s="245" t="n"/>
      <c r="I241" s="243" t="n"/>
      <c r="J241" s="246" t="n"/>
      <c r="K241" s="247" t="n"/>
      <c r="L241" s="248">
        <f>ROUNDUP(IF(Q241=0,0,Q241)*IF(R241&gt;0,R241,1)*IF(M241&gt;0,M241,1)*IF(O241&gt;0,O241,1),0)</f>
        <v/>
      </c>
      <c r="M241" s="245">
        <f>F241</f>
        <v/>
      </c>
      <c r="N241" s="243">
        <f>G241</f>
        <v/>
      </c>
      <c r="O241" s="245">
        <f>H241</f>
        <v/>
      </c>
      <c r="P241" s="243">
        <f>I241</f>
        <v/>
      </c>
      <c r="Q241" s="246">
        <f>J241</f>
        <v/>
      </c>
      <c r="R241" s="247">
        <f>K241</f>
        <v/>
      </c>
      <c r="S241" s="243" t="n"/>
      <c r="T241" s="249">
        <f>ROUNDUP(IF(Y241=0,0,Y241)*IF(Z241&gt;0,Z241,1)*IF(U241&gt;0,U241,1)*IF(W241&gt;0,W241,1),0)</f>
        <v/>
      </c>
      <c r="U241" s="245">
        <f>M241</f>
        <v/>
      </c>
      <c r="V241" s="243">
        <f>N241</f>
        <v/>
      </c>
      <c r="W241" s="245">
        <f>O241</f>
        <v/>
      </c>
      <c r="X241" s="243">
        <f>P241</f>
        <v/>
      </c>
      <c r="Y241" s="246">
        <f>Q241</f>
        <v/>
      </c>
      <c r="Z241" s="247">
        <f>R241</f>
        <v/>
      </c>
      <c r="AA241" s="243" t="n"/>
      <c r="AB241" s="254" t="n"/>
      <c r="AC241" s="254" t="n"/>
      <c r="AD241" s="254" t="n"/>
      <c r="AE241" s="254" t="n"/>
      <c r="AF241" s="254" t="n"/>
      <c r="AG241" s="255" t="n"/>
      <c r="AH241" s="256" t="n"/>
      <c r="AI241" s="253" t="n"/>
    </row>
    <row r="242" collapsed="1" s="592">
      <c r="A242" s="257" t="n">
        <v>12</v>
      </c>
      <c r="B242" s="257">
        <f>IFERROR(__xludf.DUMMYFUNCTION("vlookup(C242,IMPORTRANGE(REF!$B$3,""FP!B:C""),2,0)"),"#N/A")</f>
        <v/>
      </c>
      <c r="C242" s="237" t="inlineStr">
        <is>
          <t>ชื่อกิจกรรมที่ 12</t>
        </is>
      </c>
      <c r="D242" s="232" t="n"/>
      <c r="E242" s="233">
        <f>SUM(E243:E262)</f>
        <v/>
      </c>
      <c r="F242" s="234" t="n"/>
      <c r="G242" s="235" t="n"/>
      <c r="H242" s="234" t="n"/>
      <c r="I242" s="235" t="n"/>
      <c r="J242" s="233" t="n"/>
      <c r="K242" s="236" t="n"/>
      <c r="L242" s="233">
        <f>SUM(L243:L262)</f>
        <v/>
      </c>
      <c r="M242" s="234" t="n"/>
      <c r="N242" s="235" t="n"/>
      <c r="O242" s="234" t="n"/>
      <c r="P242" s="235" t="n"/>
      <c r="Q242" s="233" t="n"/>
      <c r="R242" s="236" t="n"/>
      <c r="S242" s="235" t="n"/>
      <c r="T242" s="233">
        <f>SUM(T243:T262)</f>
        <v/>
      </c>
      <c r="U242" s="234" t="n"/>
      <c r="V242" s="235" t="n"/>
      <c r="W242" s="234" t="n"/>
      <c r="X242" s="235" t="n"/>
      <c r="Y242" s="233" t="n"/>
      <c r="Z242" s="236" t="n"/>
      <c r="AA242" s="235" t="n"/>
      <c r="AB242" s="237" t="n"/>
      <c r="AC242" s="237" t="n"/>
      <c r="AD242" s="237" t="n"/>
      <c r="AE242" s="237" t="n"/>
      <c r="AF242" s="237" t="n"/>
      <c r="AG242" s="238" t="b">
        <v>0</v>
      </c>
      <c r="AH242" s="239" t="n"/>
      <c r="AI242" s="253" t="n"/>
    </row>
    <row r="243" hidden="1" outlineLevel="1" s="592">
      <c r="A243" s="241">
        <f>$A242&amp;"."&amp;1</f>
        <v/>
      </c>
      <c r="B243" s="241" t="n"/>
      <c r="C243" s="255">
        <f>$C$242</f>
        <v/>
      </c>
      <c r="D243" s="243" t="n"/>
      <c r="E243" s="244">
        <f>ROUNDUP(IF(J243=0,0,J243)*IF(K243&gt;0,K243,1)*IF(F243&gt;0,F243,1)*IF(H243&gt;0,H243,1),0)</f>
        <v/>
      </c>
      <c r="F243" s="245" t="n"/>
      <c r="G243" s="243" t="n"/>
      <c r="H243" s="245" t="n"/>
      <c r="I243" s="243" t="n"/>
      <c r="J243" s="246" t="n"/>
      <c r="K243" s="247" t="n"/>
      <c r="L243" s="248">
        <f>ROUNDUP(IF(Q243=0,0,Q243)*IF(R243&gt;0,R243,1)*IF(M243&gt;0,M243,1)*IF(O243&gt;0,O243,1),0)</f>
        <v/>
      </c>
      <c r="M243" s="245">
        <f>F243</f>
        <v/>
      </c>
      <c r="N243" s="243">
        <f>G243</f>
        <v/>
      </c>
      <c r="O243" s="245">
        <f>H243</f>
        <v/>
      </c>
      <c r="P243" s="243">
        <f>I243</f>
        <v/>
      </c>
      <c r="Q243" s="246">
        <f>J243</f>
        <v/>
      </c>
      <c r="R243" s="247">
        <f>K243</f>
        <v/>
      </c>
      <c r="S243" s="243" t="n"/>
      <c r="T243" s="249">
        <f>ROUNDUP(IF(Y243=0,0,Y243)*IF(Z243&gt;0,Z243,1)*IF(U243&gt;0,U243,1)*IF(W243&gt;0,W243,1),0)</f>
        <v/>
      </c>
      <c r="U243" s="245">
        <f>M243</f>
        <v/>
      </c>
      <c r="V243" s="243">
        <f>N243</f>
        <v/>
      </c>
      <c r="W243" s="245">
        <f>O243</f>
        <v/>
      </c>
      <c r="X243" s="243">
        <f>P243</f>
        <v/>
      </c>
      <c r="Y243" s="246">
        <f>Q243</f>
        <v/>
      </c>
      <c r="Z243" s="247">
        <f>R243</f>
        <v/>
      </c>
      <c r="AA243" s="243" t="n"/>
      <c r="AB243" s="254" t="n"/>
      <c r="AC243" s="254" t="n"/>
      <c r="AD243" s="254" t="n"/>
      <c r="AE243" s="254" t="n"/>
      <c r="AF243" s="254" t="n"/>
      <c r="AG243" s="255" t="n"/>
      <c r="AH243" s="256" t="n"/>
      <c r="AI243" s="253" t="n"/>
    </row>
    <row r="244" hidden="1" outlineLevel="1" s="592">
      <c r="A244" s="241">
        <f>$A242&amp;"."&amp;2</f>
        <v/>
      </c>
      <c r="B244" s="241" t="n"/>
      <c r="C244" s="255">
        <f>$C$242</f>
        <v/>
      </c>
      <c r="D244" s="243" t="n"/>
      <c r="E244" s="244">
        <f>ROUNDUP(IF(J244=0,0,J244)*IF(K244&gt;0,K244,1)*IF(F244&gt;0,F244,1)*IF(H244&gt;0,H244,1),0)</f>
        <v/>
      </c>
      <c r="F244" s="245" t="n"/>
      <c r="G244" s="243" t="n"/>
      <c r="H244" s="245" t="n"/>
      <c r="I244" s="243" t="n"/>
      <c r="J244" s="246" t="n"/>
      <c r="K244" s="247" t="n"/>
      <c r="L244" s="248">
        <f>ROUNDUP(IF(Q244=0,0,Q244)*IF(R244&gt;0,R244,1)*IF(M244&gt;0,M244,1)*IF(O244&gt;0,O244,1),0)</f>
        <v/>
      </c>
      <c r="M244" s="245">
        <f>F244</f>
        <v/>
      </c>
      <c r="N244" s="243">
        <f>G244</f>
        <v/>
      </c>
      <c r="O244" s="245">
        <f>H244</f>
        <v/>
      </c>
      <c r="P244" s="243">
        <f>I244</f>
        <v/>
      </c>
      <c r="Q244" s="246">
        <f>J244</f>
        <v/>
      </c>
      <c r="R244" s="247">
        <f>K244</f>
        <v/>
      </c>
      <c r="S244" s="243" t="n"/>
      <c r="T244" s="249">
        <f>ROUNDUP(IF(Y244=0,0,Y244)*IF(Z244&gt;0,Z244,1)*IF(U244&gt;0,U244,1)*IF(W244&gt;0,W244,1),0)</f>
        <v/>
      </c>
      <c r="U244" s="245">
        <f>M244</f>
        <v/>
      </c>
      <c r="V244" s="243">
        <f>N244</f>
        <v/>
      </c>
      <c r="W244" s="245">
        <f>O244</f>
        <v/>
      </c>
      <c r="X244" s="243">
        <f>P244</f>
        <v/>
      </c>
      <c r="Y244" s="246">
        <f>Q244</f>
        <v/>
      </c>
      <c r="Z244" s="247">
        <f>R244</f>
        <v/>
      </c>
      <c r="AA244" s="243" t="n"/>
      <c r="AB244" s="254" t="n"/>
      <c r="AC244" s="254" t="n"/>
      <c r="AD244" s="254" t="n"/>
      <c r="AE244" s="254" t="n"/>
      <c r="AF244" s="254" t="n"/>
      <c r="AG244" s="255" t="n"/>
      <c r="AH244" s="256" t="n"/>
      <c r="AI244" s="253" t="n"/>
    </row>
    <row r="245" hidden="1" outlineLevel="1" s="592">
      <c r="A245" s="241">
        <f>$A242&amp;"."&amp;3</f>
        <v/>
      </c>
      <c r="B245" s="241" t="n"/>
      <c r="C245" s="255">
        <f>$C$242</f>
        <v/>
      </c>
      <c r="D245" s="243" t="n"/>
      <c r="E245" s="244">
        <f>ROUNDUP(IF(J245=0,0,J245)*IF(K245&gt;0,K245,1)*IF(F245&gt;0,F245,1)*IF(H245&gt;0,H245,1),0)</f>
        <v/>
      </c>
      <c r="F245" s="245" t="n"/>
      <c r="G245" s="243" t="n"/>
      <c r="H245" s="245" t="n"/>
      <c r="I245" s="243" t="n"/>
      <c r="J245" s="246" t="n"/>
      <c r="K245" s="247" t="n"/>
      <c r="L245" s="248">
        <f>ROUNDUP(IF(Q245=0,0,Q245)*IF(R245&gt;0,R245,1)*IF(M245&gt;0,M245,1)*IF(O245&gt;0,O245,1),0)</f>
        <v/>
      </c>
      <c r="M245" s="245">
        <f>F245</f>
        <v/>
      </c>
      <c r="N245" s="243">
        <f>G245</f>
        <v/>
      </c>
      <c r="O245" s="245">
        <f>H245</f>
        <v/>
      </c>
      <c r="P245" s="243">
        <f>I245</f>
        <v/>
      </c>
      <c r="Q245" s="246">
        <f>J245</f>
        <v/>
      </c>
      <c r="R245" s="247">
        <f>K245</f>
        <v/>
      </c>
      <c r="S245" s="243" t="n"/>
      <c r="T245" s="249">
        <f>ROUNDUP(IF(Y245=0,0,Y245)*IF(Z245&gt;0,Z245,1)*IF(U245&gt;0,U245,1)*IF(W245&gt;0,W245,1),0)</f>
        <v/>
      </c>
      <c r="U245" s="245">
        <f>M245</f>
        <v/>
      </c>
      <c r="V245" s="243">
        <f>N245</f>
        <v/>
      </c>
      <c r="W245" s="245">
        <f>O245</f>
        <v/>
      </c>
      <c r="X245" s="243">
        <f>P245</f>
        <v/>
      </c>
      <c r="Y245" s="246">
        <f>Q245</f>
        <v/>
      </c>
      <c r="Z245" s="247">
        <f>R245</f>
        <v/>
      </c>
      <c r="AA245" s="243" t="n"/>
      <c r="AB245" s="254" t="n"/>
      <c r="AC245" s="254" t="n"/>
      <c r="AD245" s="254" t="n"/>
      <c r="AE245" s="254" t="n"/>
      <c r="AF245" s="254" t="n"/>
      <c r="AG245" s="255" t="n"/>
      <c r="AH245" s="256" t="n"/>
      <c r="AI245" s="253" t="n"/>
    </row>
    <row r="246" hidden="1" outlineLevel="1" s="592">
      <c r="A246" s="241">
        <f>$A242&amp;"."&amp;4</f>
        <v/>
      </c>
      <c r="B246" s="241" t="n"/>
      <c r="C246" s="255">
        <f>$C$242</f>
        <v/>
      </c>
      <c r="D246" s="243" t="n"/>
      <c r="E246" s="244">
        <f>ROUNDUP(IF(J246=0,0,J246)*IF(K246&gt;0,K246,1)*IF(F246&gt;0,F246,1)*IF(H246&gt;0,H246,1),0)</f>
        <v/>
      </c>
      <c r="F246" s="245" t="n"/>
      <c r="G246" s="243" t="n"/>
      <c r="H246" s="245" t="n"/>
      <c r="I246" s="243" t="n"/>
      <c r="J246" s="246" t="n"/>
      <c r="K246" s="247" t="n"/>
      <c r="L246" s="248">
        <f>ROUNDUP(IF(Q246=0,0,Q246)*IF(R246&gt;0,R246,1)*IF(M246&gt;0,M246,1)*IF(O246&gt;0,O246,1),0)</f>
        <v/>
      </c>
      <c r="M246" s="245">
        <f>F246</f>
        <v/>
      </c>
      <c r="N246" s="243">
        <f>G246</f>
        <v/>
      </c>
      <c r="O246" s="245">
        <f>H246</f>
        <v/>
      </c>
      <c r="P246" s="243">
        <f>I246</f>
        <v/>
      </c>
      <c r="Q246" s="246">
        <f>J246</f>
        <v/>
      </c>
      <c r="R246" s="247">
        <f>K246</f>
        <v/>
      </c>
      <c r="S246" s="243" t="n"/>
      <c r="T246" s="249">
        <f>ROUNDUP(IF(Y246=0,0,Y246)*IF(Z246&gt;0,Z246,1)*IF(U246&gt;0,U246,1)*IF(W246&gt;0,W246,1),0)</f>
        <v/>
      </c>
      <c r="U246" s="245">
        <f>M246</f>
        <v/>
      </c>
      <c r="V246" s="243">
        <f>N246</f>
        <v/>
      </c>
      <c r="W246" s="245">
        <f>O246</f>
        <v/>
      </c>
      <c r="X246" s="243">
        <f>P246</f>
        <v/>
      </c>
      <c r="Y246" s="246">
        <f>Q246</f>
        <v/>
      </c>
      <c r="Z246" s="247">
        <f>R246</f>
        <v/>
      </c>
      <c r="AA246" s="243" t="n"/>
      <c r="AB246" s="254" t="n"/>
      <c r="AC246" s="254" t="n"/>
      <c r="AD246" s="254" t="n"/>
      <c r="AE246" s="254" t="n"/>
      <c r="AF246" s="254" t="n"/>
      <c r="AG246" s="255" t="n"/>
      <c r="AH246" s="256" t="n"/>
      <c r="AI246" s="253" t="n"/>
    </row>
    <row r="247" hidden="1" outlineLevel="1" s="592">
      <c r="A247" s="241">
        <f>$A242&amp;"."&amp;5</f>
        <v/>
      </c>
      <c r="B247" s="241" t="n"/>
      <c r="C247" s="255">
        <f>$C$242</f>
        <v/>
      </c>
      <c r="D247" s="243" t="n"/>
      <c r="E247" s="244">
        <f>ROUNDUP(IF(J247=0,0,J247)*IF(K247&gt;0,K247,1)*IF(F247&gt;0,F247,1)*IF(H247&gt;0,H247,1),0)</f>
        <v/>
      </c>
      <c r="F247" s="245" t="n"/>
      <c r="G247" s="243" t="n"/>
      <c r="H247" s="245" t="n"/>
      <c r="I247" s="243" t="n"/>
      <c r="J247" s="246" t="n"/>
      <c r="K247" s="247" t="n"/>
      <c r="L247" s="248">
        <f>ROUNDUP(IF(Q247=0,0,Q247)*IF(R247&gt;0,R247,1)*IF(M247&gt;0,M247,1)*IF(O247&gt;0,O247,1),0)</f>
        <v/>
      </c>
      <c r="M247" s="245">
        <f>F247</f>
        <v/>
      </c>
      <c r="N247" s="243">
        <f>G247</f>
        <v/>
      </c>
      <c r="O247" s="245">
        <f>H247</f>
        <v/>
      </c>
      <c r="P247" s="243">
        <f>I247</f>
        <v/>
      </c>
      <c r="Q247" s="246">
        <f>J247</f>
        <v/>
      </c>
      <c r="R247" s="247">
        <f>K247</f>
        <v/>
      </c>
      <c r="S247" s="243" t="n"/>
      <c r="T247" s="249">
        <f>ROUNDUP(IF(Y247=0,0,Y247)*IF(Z247&gt;0,Z247,1)*IF(U247&gt;0,U247,1)*IF(W247&gt;0,W247,1),0)</f>
        <v/>
      </c>
      <c r="U247" s="245">
        <f>M247</f>
        <v/>
      </c>
      <c r="V247" s="243">
        <f>N247</f>
        <v/>
      </c>
      <c r="W247" s="245">
        <f>O247</f>
        <v/>
      </c>
      <c r="X247" s="243">
        <f>P247</f>
        <v/>
      </c>
      <c r="Y247" s="246">
        <f>Q247</f>
        <v/>
      </c>
      <c r="Z247" s="247">
        <f>R247</f>
        <v/>
      </c>
      <c r="AA247" s="243" t="n"/>
      <c r="AB247" s="254" t="n"/>
      <c r="AC247" s="254" t="n"/>
      <c r="AD247" s="254" t="n"/>
      <c r="AE247" s="254" t="n"/>
      <c r="AF247" s="254" t="n"/>
      <c r="AG247" s="255" t="n"/>
      <c r="AH247" s="256" t="n"/>
      <c r="AI247" s="253" t="n"/>
    </row>
    <row r="248" hidden="1" outlineLevel="1" s="592">
      <c r="A248" s="241">
        <f>$A242&amp;"."&amp;6</f>
        <v/>
      </c>
      <c r="B248" s="241" t="n"/>
      <c r="C248" s="255">
        <f>$C$242</f>
        <v/>
      </c>
      <c r="D248" s="243" t="n"/>
      <c r="E248" s="244">
        <f>ROUNDUP(IF(J248=0,0,J248)*IF(K248&gt;0,K248,1)*IF(F248&gt;0,F248,1)*IF(H248&gt;0,H248,1),0)</f>
        <v/>
      </c>
      <c r="F248" s="245" t="n"/>
      <c r="G248" s="243" t="n"/>
      <c r="H248" s="245" t="n"/>
      <c r="I248" s="243" t="n"/>
      <c r="J248" s="246" t="n"/>
      <c r="K248" s="247" t="n"/>
      <c r="L248" s="248">
        <f>ROUNDUP(IF(Q248=0,0,Q248)*IF(R248&gt;0,R248,1)*IF(M248&gt;0,M248,1)*IF(O248&gt;0,O248,1),0)</f>
        <v/>
      </c>
      <c r="M248" s="245">
        <f>F248</f>
        <v/>
      </c>
      <c r="N248" s="243">
        <f>G248</f>
        <v/>
      </c>
      <c r="O248" s="245">
        <f>H248</f>
        <v/>
      </c>
      <c r="P248" s="243">
        <f>I248</f>
        <v/>
      </c>
      <c r="Q248" s="246">
        <f>J248</f>
        <v/>
      </c>
      <c r="R248" s="247">
        <f>K248</f>
        <v/>
      </c>
      <c r="S248" s="243" t="n"/>
      <c r="T248" s="249">
        <f>ROUNDUP(IF(Y248=0,0,Y248)*IF(Z248&gt;0,Z248,1)*IF(U248&gt;0,U248,1)*IF(W248&gt;0,W248,1),0)</f>
        <v/>
      </c>
      <c r="U248" s="245">
        <f>M248</f>
        <v/>
      </c>
      <c r="V248" s="243">
        <f>N248</f>
        <v/>
      </c>
      <c r="W248" s="245">
        <f>O248</f>
        <v/>
      </c>
      <c r="X248" s="243">
        <f>P248</f>
        <v/>
      </c>
      <c r="Y248" s="246">
        <f>Q248</f>
        <v/>
      </c>
      <c r="Z248" s="247">
        <f>R248</f>
        <v/>
      </c>
      <c r="AA248" s="243" t="n"/>
      <c r="AB248" s="254" t="n"/>
      <c r="AC248" s="254" t="n"/>
      <c r="AD248" s="254" t="n"/>
      <c r="AE248" s="254" t="n"/>
      <c r="AF248" s="254" t="n"/>
      <c r="AG248" s="255" t="n"/>
      <c r="AH248" s="256" t="n"/>
      <c r="AI248" s="253" t="n"/>
    </row>
    <row r="249" hidden="1" outlineLevel="1" s="592">
      <c r="A249" s="241">
        <f>$A242&amp;"."&amp;7</f>
        <v/>
      </c>
      <c r="B249" s="241" t="n"/>
      <c r="C249" s="255">
        <f>$C$242</f>
        <v/>
      </c>
      <c r="D249" s="243" t="n"/>
      <c r="E249" s="244">
        <f>ROUNDUP(IF(J249=0,0,J249)*IF(K249&gt;0,K249,1)*IF(F249&gt;0,F249,1)*IF(H249&gt;0,H249,1),0)</f>
        <v/>
      </c>
      <c r="F249" s="245" t="n"/>
      <c r="G249" s="243" t="n"/>
      <c r="H249" s="245" t="n"/>
      <c r="I249" s="243" t="n"/>
      <c r="J249" s="246" t="n"/>
      <c r="K249" s="247" t="n"/>
      <c r="L249" s="248">
        <f>ROUNDUP(IF(Q249=0,0,Q249)*IF(R249&gt;0,R249,1)*IF(M249&gt;0,M249,1)*IF(O249&gt;0,O249,1),0)</f>
        <v/>
      </c>
      <c r="M249" s="245">
        <f>F249</f>
        <v/>
      </c>
      <c r="N249" s="243">
        <f>G249</f>
        <v/>
      </c>
      <c r="O249" s="245">
        <f>H249</f>
        <v/>
      </c>
      <c r="P249" s="243">
        <f>I249</f>
        <v/>
      </c>
      <c r="Q249" s="246">
        <f>J249</f>
        <v/>
      </c>
      <c r="R249" s="247">
        <f>K249</f>
        <v/>
      </c>
      <c r="S249" s="243" t="n"/>
      <c r="T249" s="249">
        <f>ROUNDUP(IF(Y249=0,0,Y249)*IF(Z249&gt;0,Z249,1)*IF(U249&gt;0,U249,1)*IF(W249&gt;0,W249,1),0)</f>
        <v/>
      </c>
      <c r="U249" s="245">
        <f>M249</f>
        <v/>
      </c>
      <c r="V249" s="243">
        <f>N249</f>
        <v/>
      </c>
      <c r="W249" s="245">
        <f>O249</f>
        <v/>
      </c>
      <c r="X249" s="243">
        <f>P249</f>
        <v/>
      </c>
      <c r="Y249" s="246">
        <f>Q249</f>
        <v/>
      </c>
      <c r="Z249" s="247">
        <f>R249</f>
        <v/>
      </c>
      <c r="AA249" s="243" t="n"/>
      <c r="AB249" s="254" t="n"/>
      <c r="AC249" s="254" t="n"/>
      <c r="AD249" s="254" t="n"/>
      <c r="AE249" s="254" t="n"/>
      <c r="AF249" s="254" t="n"/>
      <c r="AG249" s="255" t="n"/>
      <c r="AH249" s="256" t="n"/>
      <c r="AI249" s="253" t="n"/>
    </row>
    <row r="250" hidden="1" outlineLevel="1" s="592">
      <c r="A250" s="241">
        <f>$A242&amp;"."&amp;8</f>
        <v/>
      </c>
      <c r="B250" s="241" t="n"/>
      <c r="C250" s="255">
        <f>$C$242</f>
        <v/>
      </c>
      <c r="D250" s="243" t="n"/>
      <c r="E250" s="244">
        <f>ROUNDUP(IF(J250=0,0,J250)*IF(K250&gt;0,K250,1)*IF(F250&gt;0,F250,1)*IF(H250&gt;0,H250,1),0)</f>
        <v/>
      </c>
      <c r="F250" s="245" t="n"/>
      <c r="G250" s="243" t="n"/>
      <c r="H250" s="245" t="n"/>
      <c r="I250" s="243" t="n"/>
      <c r="J250" s="246" t="n"/>
      <c r="K250" s="247" t="n"/>
      <c r="L250" s="248">
        <f>ROUNDUP(IF(Q250=0,0,Q250)*IF(R250&gt;0,R250,1)*IF(M250&gt;0,M250,1)*IF(O250&gt;0,O250,1),0)</f>
        <v/>
      </c>
      <c r="M250" s="245">
        <f>F250</f>
        <v/>
      </c>
      <c r="N250" s="243">
        <f>G250</f>
        <v/>
      </c>
      <c r="O250" s="245">
        <f>H250</f>
        <v/>
      </c>
      <c r="P250" s="243">
        <f>I250</f>
        <v/>
      </c>
      <c r="Q250" s="246">
        <f>J250</f>
        <v/>
      </c>
      <c r="R250" s="247">
        <f>K250</f>
        <v/>
      </c>
      <c r="S250" s="243" t="n"/>
      <c r="T250" s="249">
        <f>ROUNDUP(IF(Y250=0,0,Y250)*IF(Z250&gt;0,Z250,1)*IF(U250&gt;0,U250,1)*IF(W250&gt;0,W250,1),0)</f>
        <v/>
      </c>
      <c r="U250" s="245">
        <f>M250</f>
        <v/>
      </c>
      <c r="V250" s="243">
        <f>N250</f>
        <v/>
      </c>
      <c r="W250" s="245">
        <f>O250</f>
        <v/>
      </c>
      <c r="X250" s="243">
        <f>P250</f>
        <v/>
      </c>
      <c r="Y250" s="246">
        <f>Q250</f>
        <v/>
      </c>
      <c r="Z250" s="247">
        <f>R250</f>
        <v/>
      </c>
      <c r="AA250" s="243" t="n"/>
      <c r="AB250" s="254" t="n"/>
      <c r="AC250" s="254" t="n"/>
      <c r="AD250" s="254" t="n"/>
      <c r="AE250" s="254" t="n"/>
      <c r="AF250" s="254" t="n"/>
      <c r="AG250" s="255" t="n"/>
      <c r="AH250" s="256" t="n"/>
      <c r="AI250" s="253" t="n"/>
    </row>
    <row r="251" hidden="1" outlineLevel="1" s="592">
      <c r="A251" s="241">
        <f>$A242&amp;"."&amp;9</f>
        <v/>
      </c>
      <c r="B251" s="241" t="n"/>
      <c r="C251" s="255">
        <f>$C$242</f>
        <v/>
      </c>
      <c r="D251" s="243" t="n"/>
      <c r="E251" s="244">
        <f>ROUNDUP(IF(J251=0,0,J251)*IF(K251&gt;0,K251,1)*IF(F251&gt;0,F251,1)*IF(H251&gt;0,H251,1),0)</f>
        <v/>
      </c>
      <c r="F251" s="245" t="n"/>
      <c r="G251" s="243" t="n"/>
      <c r="H251" s="245" t="n"/>
      <c r="I251" s="243" t="n"/>
      <c r="J251" s="246" t="n"/>
      <c r="K251" s="247" t="n"/>
      <c r="L251" s="248">
        <f>ROUNDUP(IF(Q251=0,0,Q251)*IF(R251&gt;0,R251,1)*IF(M251&gt;0,M251,1)*IF(O251&gt;0,O251,1),0)</f>
        <v/>
      </c>
      <c r="M251" s="245">
        <f>F251</f>
        <v/>
      </c>
      <c r="N251" s="243">
        <f>G251</f>
        <v/>
      </c>
      <c r="O251" s="245">
        <f>H251</f>
        <v/>
      </c>
      <c r="P251" s="243">
        <f>I251</f>
        <v/>
      </c>
      <c r="Q251" s="246">
        <f>J251</f>
        <v/>
      </c>
      <c r="R251" s="247">
        <f>K251</f>
        <v/>
      </c>
      <c r="S251" s="243" t="n"/>
      <c r="T251" s="249">
        <f>ROUNDUP(IF(Y251=0,0,Y251)*IF(Z251&gt;0,Z251,1)*IF(U251&gt;0,U251,1)*IF(W251&gt;0,W251,1),0)</f>
        <v/>
      </c>
      <c r="U251" s="245">
        <f>M251</f>
        <v/>
      </c>
      <c r="V251" s="243">
        <f>N251</f>
        <v/>
      </c>
      <c r="W251" s="245">
        <f>O251</f>
        <v/>
      </c>
      <c r="X251" s="243">
        <f>P251</f>
        <v/>
      </c>
      <c r="Y251" s="246">
        <f>Q251</f>
        <v/>
      </c>
      <c r="Z251" s="247">
        <f>R251</f>
        <v/>
      </c>
      <c r="AA251" s="243" t="n"/>
      <c r="AB251" s="254" t="n"/>
      <c r="AC251" s="254" t="n"/>
      <c r="AD251" s="254" t="n"/>
      <c r="AE251" s="254" t="n"/>
      <c r="AF251" s="254" t="n"/>
      <c r="AG251" s="255" t="n"/>
      <c r="AH251" s="256" t="n"/>
      <c r="AI251" s="253" t="n"/>
    </row>
    <row r="252" hidden="1" outlineLevel="1" s="592">
      <c r="A252" s="241">
        <f>$A242&amp;"."&amp;10</f>
        <v/>
      </c>
      <c r="B252" s="241" t="n"/>
      <c r="C252" s="255">
        <f>$C$242</f>
        <v/>
      </c>
      <c r="D252" s="243" t="n"/>
      <c r="E252" s="244">
        <f>ROUNDUP(IF(J252=0,0,J252)*IF(K252&gt;0,K252,1)*IF(F252&gt;0,F252,1)*IF(H252&gt;0,H252,1),0)</f>
        <v/>
      </c>
      <c r="F252" s="245" t="n"/>
      <c r="G252" s="243" t="n"/>
      <c r="H252" s="245" t="n"/>
      <c r="I252" s="243" t="n"/>
      <c r="J252" s="246" t="n"/>
      <c r="K252" s="247" t="n"/>
      <c r="L252" s="248">
        <f>ROUNDUP(IF(Q252=0,0,Q252)*IF(R252&gt;0,R252,1)*IF(M252&gt;0,M252,1)*IF(O252&gt;0,O252,1),0)</f>
        <v/>
      </c>
      <c r="M252" s="245">
        <f>F252</f>
        <v/>
      </c>
      <c r="N252" s="243">
        <f>G252</f>
        <v/>
      </c>
      <c r="O252" s="245">
        <f>H252</f>
        <v/>
      </c>
      <c r="P252" s="243">
        <f>I252</f>
        <v/>
      </c>
      <c r="Q252" s="246">
        <f>J252</f>
        <v/>
      </c>
      <c r="R252" s="247">
        <f>K252</f>
        <v/>
      </c>
      <c r="S252" s="243" t="n"/>
      <c r="T252" s="249">
        <f>ROUNDUP(IF(Y252=0,0,Y252)*IF(Z252&gt;0,Z252,1)*IF(U252&gt;0,U252,1)*IF(W252&gt;0,W252,1),0)</f>
        <v/>
      </c>
      <c r="U252" s="245">
        <f>M252</f>
        <v/>
      </c>
      <c r="V252" s="243">
        <f>N252</f>
        <v/>
      </c>
      <c r="W252" s="245">
        <f>O252</f>
        <v/>
      </c>
      <c r="X252" s="243">
        <f>P252</f>
        <v/>
      </c>
      <c r="Y252" s="246">
        <f>Q252</f>
        <v/>
      </c>
      <c r="Z252" s="247">
        <f>R252</f>
        <v/>
      </c>
      <c r="AA252" s="243" t="n"/>
      <c r="AB252" s="254" t="n"/>
      <c r="AC252" s="254" t="n"/>
      <c r="AD252" s="254" t="n"/>
      <c r="AE252" s="254" t="n"/>
      <c r="AF252" s="254" t="n"/>
      <c r="AG252" s="255" t="n"/>
      <c r="AH252" s="256" t="n"/>
      <c r="AI252" s="253" t="n"/>
    </row>
    <row r="253" hidden="1" outlineLevel="1" s="592">
      <c r="A253" s="241">
        <f>$A242&amp;"."&amp;11</f>
        <v/>
      </c>
      <c r="B253" s="241" t="n"/>
      <c r="C253" s="255">
        <f>$C$242</f>
        <v/>
      </c>
      <c r="D253" s="243" t="n"/>
      <c r="E253" s="244">
        <f>ROUNDUP(IF(J253=0,0,J253)*IF(K253&gt;0,K253,1)*IF(F253&gt;0,F253,1)*IF(H253&gt;0,H253,1),0)</f>
        <v/>
      </c>
      <c r="F253" s="245" t="n"/>
      <c r="G253" s="243" t="n"/>
      <c r="H253" s="245" t="n"/>
      <c r="I253" s="243" t="n"/>
      <c r="J253" s="246" t="n"/>
      <c r="K253" s="247" t="n"/>
      <c r="L253" s="248">
        <f>ROUNDUP(IF(Q253=0,0,Q253)*IF(R253&gt;0,R253,1)*IF(M253&gt;0,M253,1)*IF(O253&gt;0,O253,1),0)</f>
        <v/>
      </c>
      <c r="M253" s="245">
        <f>F253</f>
        <v/>
      </c>
      <c r="N253" s="243">
        <f>G253</f>
        <v/>
      </c>
      <c r="O253" s="245">
        <f>H253</f>
        <v/>
      </c>
      <c r="P253" s="243">
        <f>I253</f>
        <v/>
      </c>
      <c r="Q253" s="246">
        <f>J253</f>
        <v/>
      </c>
      <c r="R253" s="247">
        <f>K253</f>
        <v/>
      </c>
      <c r="S253" s="243" t="n"/>
      <c r="T253" s="249">
        <f>ROUNDUP(IF(Y253=0,0,Y253)*IF(Z253&gt;0,Z253,1)*IF(U253&gt;0,U253,1)*IF(W253&gt;0,W253,1),0)</f>
        <v/>
      </c>
      <c r="U253" s="245">
        <f>M253</f>
        <v/>
      </c>
      <c r="V253" s="243">
        <f>N253</f>
        <v/>
      </c>
      <c r="W253" s="245">
        <f>O253</f>
        <v/>
      </c>
      <c r="X253" s="243">
        <f>P253</f>
        <v/>
      </c>
      <c r="Y253" s="246">
        <f>Q253</f>
        <v/>
      </c>
      <c r="Z253" s="247">
        <f>R253</f>
        <v/>
      </c>
      <c r="AA253" s="243" t="n"/>
      <c r="AB253" s="254" t="n"/>
      <c r="AC253" s="254" t="n"/>
      <c r="AD253" s="254" t="n"/>
      <c r="AE253" s="254" t="n"/>
      <c r="AF253" s="254" t="n"/>
      <c r="AG253" s="255" t="n"/>
      <c r="AH253" s="256" t="n"/>
      <c r="AI253" s="253" t="n"/>
    </row>
    <row r="254" hidden="1" outlineLevel="1" s="592">
      <c r="A254" s="241">
        <f>$A242&amp;"."&amp;12</f>
        <v/>
      </c>
      <c r="B254" s="241" t="n"/>
      <c r="C254" s="255">
        <f>$C$242</f>
        <v/>
      </c>
      <c r="D254" s="243" t="n"/>
      <c r="E254" s="244">
        <f>ROUNDUP(IF(J254=0,0,J254)*IF(K254&gt;0,K254,1)*IF(F254&gt;0,F254,1)*IF(H254&gt;0,H254,1),0)</f>
        <v/>
      </c>
      <c r="F254" s="245" t="n"/>
      <c r="G254" s="243" t="n"/>
      <c r="H254" s="245" t="n"/>
      <c r="I254" s="243" t="n"/>
      <c r="J254" s="246" t="n"/>
      <c r="K254" s="247" t="n"/>
      <c r="L254" s="248">
        <f>ROUNDUP(IF(Q254=0,0,Q254)*IF(R254&gt;0,R254,1)*IF(M254&gt;0,M254,1)*IF(O254&gt;0,O254,1),0)</f>
        <v/>
      </c>
      <c r="M254" s="245">
        <f>F254</f>
        <v/>
      </c>
      <c r="N254" s="243">
        <f>G254</f>
        <v/>
      </c>
      <c r="O254" s="245">
        <f>H254</f>
        <v/>
      </c>
      <c r="P254" s="243">
        <f>I254</f>
        <v/>
      </c>
      <c r="Q254" s="246">
        <f>J254</f>
        <v/>
      </c>
      <c r="R254" s="247">
        <f>K254</f>
        <v/>
      </c>
      <c r="S254" s="243" t="n"/>
      <c r="T254" s="249">
        <f>ROUNDUP(IF(Y254=0,0,Y254)*IF(Z254&gt;0,Z254,1)*IF(U254&gt;0,U254,1)*IF(W254&gt;0,W254,1),0)</f>
        <v/>
      </c>
      <c r="U254" s="245">
        <f>M254</f>
        <v/>
      </c>
      <c r="V254" s="243">
        <f>N254</f>
        <v/>
      </c>
      <c r="W254" s="245">
        <f>O254</f>
        <v/>
      </c>
      <c r="X254" s="243">
        <f>P254</f>
        <v/>
      </c>
      <c r="Y254" s="246">
        <f>Q254</f>
        <v/>
      </c>
      <c r="Z254" s="247">
        <f>R254</f>
        <v/>
      </c>
      <c r="AA254" s="243" t="n"/>
      <c r="AB254" s="254" t="n"/>
      <c r="AC254" s="254" t="n"/>
      <c r="AD254" s="254" t="n"/>
      <c r="AE254" s="254" t="n"/>
      <c r="AF254" s="254" t="n"/>
      <c r="AG254" s="255" t="n"/>
      <c r="AH254" s="256" t="n"/>
      <c r="AI254" s="253" t="n"/>
    </row>
    <row r="255" hidden="1" outlineLevel="1" s="592">
      <c r="A255" s="241">
        <f>$A242&amp;"."&amp;13</f>
        <v/>
      </c>
      <c r="B255" s="241" t="n"/>
      <c r="C255" s="255">
        <f>$C$242</f>
        <v/>
      </c>
      <c r="D255" s="243" t="n"/>
      <c r="E255" s="244">
        <f>ROUNDUP(IF(J255=0,0,J255)*IF(K255&gt;0,K255,1)*IF(F255&gt;0,F255,1)*IF(H255&gt;0,H255,1),0)</f>
        <v/>
      </c>
      <c r="F255" s="245" t="n"/>
      <c r="G255" s="243" t="n"/>
      <c r="H255" s="245" t="n"/>
      <c r="I255" s="243" t="n"/>
      <c r="J255" s="246" t="n"/>
      <c r="K255" s="247" t="n"/>
      <c r="L255" s="248">
        <f>ROUNDUP(IF(Q255=0,0,Q255)*IF(R255&gt;0,R255,1)*IF(M255&gt;0,M255,1)*IF(O255&gt;0,O255,1),0)</f>
        <v/>
      </c>
      <c r="M255" s="245">
        <f>F255</f>
        <v/>
      </c>
      <c r="N255" s="243">
        <f>G255</f>
        <v/>
      </c>
      <c r="O255" s="245">
        <f>H255</f>
        <v/>
      </c>
      <c r="P255" s="243">
        <f>I255</f>
        <v/>
      </c>
      <c r="Q255" s="246">
        <f>J255</f>
        <v/>
      </c>
      <c r="R255" s="247">
        <f>K255</f>
        <v/>
      </c>
      <c r="S255" s="243" t="n"/>
      <c r="T255" s="249">
        <f>ROUNDUP(IF(Y255=0,0,Y255)*IF(Z255&gt;0,Z255,1)*IF(U255&gt;0,U255,1)*IF(W255&gt;0,W255,1),0)</f>
        <v/>
      </c>
      <c r="U255" s="245">
        <f>M255</f>
        <v/>
      </c>
      <c r="V255" s="243">
        <f>N255</f>
        <v/>
      </c>
      <c r="W255" s="245">
        <f>O255</f>
        <v/>
      </c>
      <c r="X255" s="243">
        <f>P255</f>
        <v/>
      </c>
      <c r="Y255" s="246">
        <f>Q255</f>
        <v/>
      </c>
      <c r="Z255" s="247">
        <f>R255</f>
        <v/>
      </c>
      <c r="AA255" s="243" t="n"/>
      <c r="AB255" s="254" t="n"/>
      <c r="AC255" s="254" t="n"/>
      <c r="AD255" s="254" t="n"/>
      <c r="AE255" s="254" t="n"/>
      <c r="AF255" s="254" t="n"/>
      <c r="AG255" s="255" t="n"/>
      <c r="AH255" s="256" t="n"/>
      <c r="AI255" s="253" t="n"/>
    </row>
    <row r="256" hidden="1" outlineLevel="1" s="592">
      <c r="A256" s="241">
        <f>$A242&amp;"."&amp;14</f>
        <v/>
      </c>
      <c r="B256" s="241" t="n"/>
      <c r="C256" s="255">
        <f>$C$242</f>
        <v/>
      </c>
      <c r="D256" s="243" t="n"/>
      <c r="E256" s="244">
        <f>ROUNDUP(IF(J256=0,0,J256)*IF(K256&gt;0,K256,1)*IF(F256&gt;0,F256,1)*IF(H256&gt;0,H256,1),0)</f>
        <v/>
      </c>
      <c r="F256" s="245" t="n"/>
      <c r="G256" s="243" t="n"/>
      <c r="H256" s="245" t="n"/>
      <c r="I256" s="243" t="n"/>
      <c r="J256" s="246" t="n"/>
      <c r="K256" s="247" t="n"/>
      <c r="L256" s="248">
        <f>ROUNDUP(IF(Q256=0,0,Q256)*IF(R256&gt;0,R256,1)*IF(M256&gt;0,M256,1)*IF(O256&gt;0,O256,1),0)</f>
        <v/>
      </c>
      <c r="M256" s="245">
        <f>F256</f>
        <v/>
      </c>
      <c r="N256" s="243">
        <f>G256</f>
        <v/>
      </c>
      <c r="O256" s="245">
        <f>H256</f>
        <v/>
      </c>
      <c r="P256" s="243">
        <f>I256</f>
        <v/>
      </c>
      <c r="Q256" s="246">
        <f>J256</f>
        <v/>
      </c>
      <c r="R256" s="247">
        <f>K256</f>
        <v/>
      </c>
      <c r="S256" s="243" t="n"/>
      <c r="T256" s="249">
        <f>ROUNDUP(IF(Y256=0,0,Y256)*IF(Z256&gt;0,Z256,1)*IF(U256&gt;0,U256,1)*IF(W256&gt;0,W256,1),0)</f>
        <v/>
      </c>
      <c r="U256" s="245">
        <f>M256</f>
        <v/>
      </c>
      <c r="V256" s="243">
        <f>N256</f>
        <v/>
      </c>
      <c r="W256" s="245">
        <f>O256</f>
        <v/>
      </c>
      <c r="X256" s="243">
        <f>P256</f>
        <v/>
      </c>
      <c r="Y256" s="246">
        <f>Q256</f>
        <v/>
      </c>
      <c r="Z256" s="247">
        <f>R256</f>
        <v/>
      </c>
      <c r="AA256" s="243" t="n"/>
      <c r="AB256" s="254" t="n"/>
      <c r="AC256" s="254" t="n"/>
      <c r="AD256" s="254" t="n"/>
      <c r="AE256" s="254" t="n"/>
      <c r="AF256" s="254" t="n"/>
      <c r="AG256" s="255" t="n"/>
      <c r="AH256" s="256" t="n"/>
      <c r="AI256" s="253" t="n"/>
    </row>
    <row r="257" hidden="1" outlineLevel="1" s="592">
      <c r="A257" s="241">
        <f>$A242&amp;"."&amp;15</f>
        <v/>
      </c>
      <c r="B257" s="241" t="n"/>
      <c r="C257" s="255">
        <f>$C$242</f>
        <v/>
      </c>
      <c r="D257" s="243" t="n"/>
      <c r="E257" s="244">
        <f>ROUNDUP(IF(J257=0,0,J257)*IF(K257&gt;0,K257,1)*IF(F257&gt;0,F257,1)*IF(H257&gt;0,H257,1),0)</f>
        <v/>
      </c>
      <c r="F257" s="245" t="n"/>
      <c r="G257" s="243" t="n"/>
      <c r="H257" s="245" t="n"/>
      <c r="I257" s="243" t="n"/>
      <c r="J257" s="246" t="n"/>
      <c r="K257" s="247" t="n"/>
      <c r="L257" s="248">
        <f>ROUNDUP(IF(Q257=0,0,Q257)*IF(R257&gt;0,R257,1)*IF(M257&gt;0,M257,1)*IF(O257&gt;0,O257,1),0)</f>
        <v/>
      </c>
      <c r="M257" s="245">
        <f>F257</f>
        <v/>
      </c>
      <c r="N257" s="243">
        <f>G257</f>
        <v/>
      </c>
      <c r="O257" s="245">
        <f>H257</f>
        <v/>
      </c>
      <c r="P257" s="243">
        <f>I257</f>
        <v/>
      </c>
      <c r="Q257" s="246">
        <f>J257</f>
        <v/>
      </c>
      <c r="R257" s="247">
        <f>K257</f>
        <v/>
      </c>
      <c r="S257" s="243" t="n"/>
      <c r="T257" s="249">
        <f>ROUNDUP(IF(Y257=0,0,Y257)*IF(Z257&gt;0,Z257,1)*IF(U257&gt;0,U257,1)*IF(W257&gt;0,W257,1),0)</f>
        <v/>
      </c>
      <c r="U257" s="245">
        <f>M257</f>
        <v/>
      </c>
      <c r="V257" s="243">
        <f>N257</f>
        <v/>
      </c>
      <c r="W257" s="245">
        <f>O257</f>
        <v/>
      </c>
      <c r="X257" s="243">
        <f>P257</f>
        <v/>
      </c>
      <c r="Y257" s="246">
        <f>Q257</f>
        <v/>
      </c>
      <c r="Z257" s="247">
        <f>R257</f>
        <v/>
      </c>
      <c r="AA257" s="243" t="n"/>
      <c r="AB257" s="254" t="n"/>
      <c r="AC257" s="254" t="n"/>
      <c r="AD257" s="254" t="n"/>
      <c r="AE257" s="254" t="n"/>
      <c r="AF257" s="254" t="n"/>
      <c r="AG257" s="255" t="n"/>
      <c r="AH257" s="256" t="n"/>
      <c r="AI257" s="253" t="n"/>
    </row>
    <row r="258" hidden="1" outlineLevel="1" s="592">
      <c r="A258" s="241">
        <f>$A242&amp;"."&amp;16</f>
        <v/>
      </c>
      <c r="B258" s="241" t="n"/>
      <c r="C258" s="255">
        <f>$C$242</f>
        <v/>
      </c>
      <c r="D258" s="243" t="n"/>
      <c r="E258" s="244">
        <f>ROUNDUP(IF(J258=0,0,J258)*IF(K258&gt;0,K258,1)*IF(F258&gt;0,F258,1)*IF(H258&gt;0,H258,1),0)</f>
        <v/>
      </c>
      <c r="F258" s="245" t="n"/>
      <c r="G258" s="243" t="n"/>
      <c r="H258" s="245" t="n"/>
      <c r="I258" s="243" t="n"/>
      <c r="J258" s="246" t="n"/>
      <c r="K258" s="247" t="n"/>
      <c r="L258" s="248">
        <f>ROUNDUP(IF(Q258=0,0,Q258)*IF(R258&gt;0,R258,1)*IF(M258&gt;0,M258,1)*IF(O258&gt;0,O258,1),0)</f>
        <v/>
      </c>
      <c r="M258" s="245">
        <f>F258</f>
        <v/>
      </c>
      <c r="N258" s="243">
        <f>G258</f>
        <v/>
      </c>
      <c r="O258" s="245">
        <f>H258</f>
        <v/>
      </c>
      <c r="P258" s="243">
        <f>I258</f>
        <v/>
      </c>
      <c r="Q258" s="246">
        <f>J258</f>
        <v/>
      </c>
      <c r="R258" s="247">
        <f>K258</f>
        <v/>
      </c>
      <c r="S258" s="243" t="n"/>
      <c r="T258" s="249">
        <f>ROUNDUP(IF(Y258=0,0,Y258)*IF(Z258&gt;0,Z258,1)*IF(U258&gt;0,U258,1)*IF(W258&gt;0,W258,1),0)</f>
        <v/>
      </c>
      <c r="U258" s="245">
        <f>M258</f>
        <v/>
      </c>
      <c r="V258" s="243">
        <f>N258</f>
        <v/>
      </c>
      <c r="W258" s="245">
        <f>O258</f>
        <v/>
      </c>
      <c r="X258" s="243">
        <f>P258</f>
        <v/>
      </c>
      <c r="Y258" s="246">
        <f>Q258</f>
        <v/>
      </c>
      <c r="Z258" s="247">
        <f>R258</f>
        <v/>
      </c>
      <c r="AA258" s="243" t="n"/>
      <c r="AB258" s="254" t="n"/>
      <c r="AC258" s="254" t="n"/>
      <c r="AD258" s="254" t="n"/>
      <c r="AE258" s="254" t="n"/>
      <c r="AF258" s="254" t="n"/>
      <c r="AG258" s="255" t="n"/>
      <c r="AH258" s="256" t="n"/>
      <c r="AI258" s="253" t="n"/>
    </row>
    <row r="259" hidden="1" outlineLevel="1" s="592">
      <c r="A259" s="241">
        <f>$A242&amp;"."&amp;17</f>
        <v/>
      </c>
      <c r="B259" s="241" t="n"/>
      <c r="C259" s="255">
        <f>$C$242</f>
        <v/>
      </c>
      <c r="D259" s="243" t="n"/>
      <c r="E259" s="244">
        <f>ROUNDUP(IF(J259=0,0,J259)*IF(K259&gt;0,K259,1)*IF(F259&gt;0,F259,1)*IF(H259&gt;0,H259,1),0)</f>
        <v/>
      </c>
      <c r="F259" s="245" t="n"/>
      <c r="G259" s="243" t="n"/>
      <c r="H259" s="245" t="n"/>
      <c r="I259" s="243" t="n"/>
      <c r="J259" s="246" t="n"/>
      <c r="K259" s="247" t="n"/>
      <c r="L259" s="248">
        <f>ROUNDUP(IF(Q259=0,0,Q259)*IF(R259&gt;0,R259,1)*IF(M259&gt;0,M259,1)*IF(O259&gt;0,O259,1),0)</f>
        <v/>
      </c>
      <c r="M259" s="245">
        <f>F259</f>
        <v/>
      </c>
      <c r="N259" s="243">
        <f>G259</f>
        <v/>
      </c>
      <c r="O259" s="245">
        <f>H259</f>
        <v/>
      </c>
      <c r="P259" s="243">
        <f>I259</f>
        <v/>
      </c>
      <c r="Q259" s="246">
        <f>J259</f>
        <v/>
      </c>
      <c r="R259" s="247">
        <f>K259</f>
        <v/>
      </c>
      <c r="S259" s="243" t="n"/>
      <c r="T259" s="249">
        <f>ROUNDUP(IF(Y259=0,0,Y259)*IF(Z259&gt;0,Z259,1)*IF(U259&gt;0,U259,1)*IF(W259&gt;0,W259,1),0)</f>
        <v/>
      </c>
      <c r="U259" s="245">
        <f>M259</f>
        <v/>
      </c>
      <c r="V259" s="243">
        <f>N259</f>
        <v/>
      </c>
      <c r="W259" s="245">
        <f>O259</f>
        <v/>
      </c>
      <c r="X259" s="243">
        <f>P259</f>
        <v/>
      </c>
      <c r="Y259" s="246">
        <f>Q259</f>
        <v/>
      </c>
      <c r="Z259" s="247">
        <f>R259</f>
        <v/>
      </c>
      <c r="AA259" s="243" t="n"/>
      <c r="AB259" s="254" t="n"/>
      <c r="AC259" s="254" t="n"/>
      <c r="AD259" s="254" t="n"/>
      <c r="AE259" s="254" t="n"/>
      <c r="AF259" s="254" t="n"/>
      <c r="AG259" s="255" t="n"/>
      <c r="AH259" s="256" t="n"/>
      <c r="AI259" s="253" t="n"/>
    </row>
    <row r="260" hidden="1" outlineLevel="1" s="592">
      <c r="A260" s="241">
        <f>$A242&amp;"."&amp;18</f>
        <v/>
      </c>
      <c r="B260" s="241" t="n"/>
      <c r="C260" s="255">
        <f>$C$242</f>
        <v/>
      </c>
      <c r="D260" s="243" t="n"/>
      <c r="E260" s="244">
        <f>ROUNDUP(IF(J260=0,0,J260)*IF(K260&gt;0,K260,1)*IF(F260&gt;0,F260,1)*IF(H260&gt;0,H260,1),0)</f>
        <v/>
      </c>
      <c r="F260" s="245" t="n"/>
      <c r="G260" s="243" t="n"/>
      <c r="H260" s="245" t="n"/>
      <c r="I260" s="243" t="n"/>
      <c r="J260" s="246" t="n"/>
      <c r="K260" s="247" t="n"/>
      <c r="L260" s="248">
        <f>ROUNDUP(IF(Q260=0,0,Q260)*IF(R260&gt;0,R260,1)*IF(M260&gt;0,M260,1)*IF(O260&gt;0,O260,1),0)</f>
        <v/>
      </c>
      <c r="M260" s="245">
        <f>F260</f>
        <v/>
      </c>
      <c r="N260" s="243">
        <f>G260</f>
        <v/>
      </c>
      <c r="O260" s="245">
        <f>H260</f>
        <v/>
      </c>
      <c r="P260" s="243">
        <f>I260</f>
        <v/>
      </c>
      <c r="Q260" s="246">
        <f>J260</f>
        <v/>
      </c>
      <c r="R260" s="247">
        <f>K260</f>
        <v/>
      </c>
      <c r="S260" s="243" t="n"/>
      <c r="T260" s="249">
        <f>ROUNDUP(IF(Y260=0,0,Y260)*IF(Z260&gt;0,Z260,1)*IF(U260&gt;0,U260,1)*IF(W260&gt;0,W260,1),0)</f>
        <v/>
      </c>
      <c r="U260" s="245">
        <f>M260</f>
        <v/>
      </c>
      <c r="V260" s="243">
        <f>N260</f>
        <v/>
      </c>
      <c r="W260" s="245">
        <f>O260</f>
        <v/>
      </c>
      <c r="X260" s="243">
        <f>P260</f>
        <v/>
      </c>
      <c r="Y260" s="246">
        <f>Q260</f>
        <v/>
      </c>
      <c r="Z260" s="247">
        <f>R260</f>
        <v/>
      </c>
      <c r="AA260" s="243" t="n"/>
      <c r="AB260" s="254" t="n"/>
      <c r="AC260" s="254" t="n"/>
      <c r="AD260" s="254" t="n"/>
      <c r="AE260" s="254" t="n"/>
      <c r="AF260" s="254" t="n"/>
      <c r="AG260" s="255" t="n"/>
      <c r="AH260" s="256" t="n"/>
      <c r="AI260" s="253" t="n"/>
    </row>
    <row r="261" hidden="1" outlineLevel="1" s="592">
      <c r="A261" s="241">
        <f>$A242&amp;"."&amp;19</f>
        <v/>
      </c>
      <c r="B261" s="241" t="n"/>
      <c r="C261" s="255">
        <f>$C$242</f>
        <v/>
      </c>
      <c r="D261" s="243" t="n"/>
      <c r="E261" s="244">
        <f>ROUNDUP(IF(J261=0,0,J261)*IF(K261&gt;0,K261,1)*IF(F261&gt;0,F261,1)*IF(H261&gt;0,H261,1),0)</f>
        <v/>
      </c>
      <c r="F261" s="245" t="n"/>
      <c r="G261" s="243" t="n"/>
      <c r="H261" s="245" t="n"/>
      <c r="I261" s="243" t="n"/>
      <c r="J261" s="246" t="n"/>
      <c r="K261" s="247" t="n"/>
      <c r="L261" s="248">
        <f>ROUNDUP(IF(Q261=0,0,Q261)*IF(R261&gt;0,R261,1)*IF(M261&gt;0,M261,1)*IF(O261&gt;0,O261,1),0)</f>
        <v/>
      </c>
      <c r="M261" s="245">
        <f>F261</f>
        <v/>
      </c>
      <c r="N261" s="243">
        <f>G261</f>
        <v/>
      </c>
      <c r="O261" s="245">
        <f>H261</f>
        <v/>
      </c>
      <c r="P261" s="243">
        <f>I261</f>
        <v/>
      </c>
      <c r="Q261" s="246">
        <f>J261</f>
        <v/>
      </c>
      <c r="R261" s="247">
        <f>K261</f>
        <v/>
      </c>
      <c r="S261" s="243" t="n"/>
      <c r="T261" s="249">
        <f>ROUNDUP(IF(Y261=0,0,Y261)*IF(Z261&gt;0,Z261,1)*IF(U261&gt;0,U261,1)*IF(W261&gt;0,W261,1),0)</f>
        <v/>
      </c>
      <c r="U261" s="245">
        <f>M261</f>
        <v/>
      </c>
      <c r="V261" s="243">
        <f>N261</f>
        <v/>
      </c>
      <c r="W261" s="245">
        <f>O261</f>
        <v/>
      </c>
      <c r="X261" s="243">
        <f>P261</f>
        <v/>
      </c>
      <c r="Y261" s="246">
        <f>Q261</f>
        <v/>
      </c>
      <c r="Z261" s="247">
        <f>R261</f>
        <v/>
      </c>
      <c r="AA261" s="243" t="n"/>
      <c r="AB261" s="254" t="n"/>
      <c r="AC261" s="254" t="n"/>
      <c r="AD261" s="254" t="n"/>
      <c r="AE261" s="254" t="n"/>
      <c r="AF261" s="254" t="n"/>
      <c r="AG261" s="255" t="n"/>
      <c r="AH261" s="256" t="n"/>
      <c r="AI261" s="253" t="n"/>
    </row>
    <row r="262" hidden="1" outlineLevel="1" s="592">
      <c r="A262" s="241">
        <f>$A242&amp;"."&amp;20</f>
        <v/>
      </c>
      <c r="B262" s="241" t="n"/>
      <c r="C262" s="255">
        <f>$C$242</f>
        <v/>
      </c>
      <c r="D262" s="243" t="n"/>
      <c r="E262" s="244">
        <f>ROUNDUP(IF(J262=0,0,J262)*IF(K262&gt;0,K262,1)*IF(F262&gt;0,F262,1)*IF(H262&gt;0,H262,1),0)</f>
        <v/>
      </c>
      <c r="F262" s="245" t="n"/>
      <c r="G262" s="243" t="n"/>
      <c r="H262" s="245" t="n"/>
      <c r="I262" s="243" t="n"/>
      <c r="J262" s="246" t="n"/>
      <c r="K262" s="247" t="n"/>
      <c r="L262" s="248">
        <f>ROUNDUP(IF(Q262=0,0,Q262)*IF(R262&gt;0,R262,1)*IF(M262&gt;0,M262,1)*IF(O262&gt;0,O262,1),0)</f>
        <v/>
      </c>
      <c r="M262" s="245">
        <f>F262</f>
        <v/>
      </c>
      <c r="N262" s="243">
        <f>G262</f>
        <v/>
      </c>
      <c r="O262" s="245">
        <f>H262</f>
        <v/>
      </c>
      <c r="P262" s="243">
        <f>I262</f>
        <v/>
      </c>
      <c r="Q262" s="246">
        <f>J262</f>
        <v/>
      </c>
      <c r="R262" s="247">
        <f>K262</f>
        <v/>
      </c>
      <c r="S262" s="243" t="n"/>
      <c r="T262" s="249">
        <f>ROUNDUP(IF(Y262=0,0,Y262)*IF(Z262&gt;0,Z262,1)*IF(U262&gt;0,U262,1)*IF(W262&gt;0,W262,1),0)</f>
        <v/>
      </c>
      <c r="U262" s="245">
        <f>M262</f>
        <v/>
      </c>
      <c r="V262" s="243">
        <f>N262</f>
        <v/>
      </c>
      <c r="W262" s="245">
        <f>O262</f>
        <v/>
      </c>
      <c r="X262" s="243">
        <f>P262</f>
        <v/>
      </c>
      <c r="Y262" s="246">
        <f>Q262</f>
        <v/>
      </c>
      <c r="Z262" s="247">
        <f>R262</f>
        <v/>
      </c>
      <c r="AA262" s="243" t="n"/>
      <c r="AB262" s="254" t="n"/>
      <c r="AC262" s="254" t="n"/>
      <c r="AD262" s="254" t="n"/>
      <c r="AE262" s="254" t="n"/>
      <c r="AF262" s="254" t="n"/>
      <c r="AG262" s="255" t="n"/>
      <c r="AH262" s="256" t="n"/>
      <c r="AI262" s="253" t="n"/>
    </row>
    <row r="263" collapsed="1" s="592">
      <c r="A263" s="257" t="n">
        <v>13</v>
      </c>
      <c r="B263" s="257">
        <f>IFERROR(__xludf.DUMMYFUNCTION("vlookup(C263,IMPORTRANGE(REF!$B$3,""FP!B:C""),2,0)"),"#N/A")</f>
        <v/>
      </c>
      <c r="C263" s="237" t="inlineStr">
        <is>
          <t>ชื่อกิจกรรมที่ 13</t>
        </is>
      </c>
      <c r="D263" s="232" t="n"/>
      <c r="E263" s="233">
        <f>SUM(E264:E283)</f>
        <v/>
      </c>
      <c r="F263" s="234" t="n"/>
      <c r="G263" s="235" t="n"/>
      <c r="H263" s="234" t="n"/>
      <c r="I263" s="235" t="n"/>
      <c r="J263" s="233" t="n"/>
      <c r="K263" s="236" t="n"/>
      <c r="L263" s="233">
        <f>SUM(L264:L283)</f>
        <v/>
      </c>
      <c r="M263" s="234" t="n"/>
      <c r="N263" s="235" t="n"/>
      <c r="O263" s="234" t="n"/>
      <c r="P263" s="235" t="n"/>
      <c r="Q263" s="233" t="n"/>
      <c r="R263" s="236" t="n"/>
      <c r="S263" s="235" t="n"/>
      <c r="T263" s="233">
        <f>SUM(T264:T283)</f>
        <v/>
      </c>
      <c r="U263" s="234" t="n"/>
      <c r="V263" s="235" t="n"/>
      <c r="W263" s="234" t="n"/>
      <c r="X263" s="235" t="n"/>
      <c r="Y263" s="233" t="n"/>
      <c r="Z263" s="236" t="n"/>
      <c r="AA263" s="235" t="n"/>
      <c r="AB263" s="237" t="n"/>
      <c r="AC263" s="237" t="n"/>
      <c r="AD263" s="237" t="n"/>
      <c r="AE263" s="237" t="n"/>
      <c r="AF263" s="237" t="n"/>
      <c r="AG263" s="238" t="b">
        <v>0</v>
      </c>
      <c r="AH263" s="239" t="n"/>
      <c r="AI263" s="253" t="n"/>
    </row>
    <row r="264" hidden="1" outlineLevel="1" s="592">
      <c r="A264" s="241">
        <f>$A263&amp;"."&amp;1</f>
        <v/>
      </c>
      <c r="B264" s="241" t="n"/>
      <c r="C264" s="255">
        <f>$C$263</f>
        <v/>
      </c>
      <c r="D264" s="243" t="n"/>
      <c r="E264" s="244">
        <f>ROUNDUP(IF(J264=0,0,J264)*IF(K264&gt;0,K264,1)*IF(F264&gt;0,F264,1)*IF(H264&gt;0,H264,1),0)</f>
        <v/>
      </c>
      <c r="F264" s="245" t="n"/>
      <c r="G264" s="243" t="n"/>
      <c r="H264" s="245" t="n"/>
      <c r="I264" s="243" t="n"/>
      <c r="J264" s="246" t="n"/>
      <c r="K264" s="247" t="n"/>
      <c r="L264" s="248">
        <f>ROUNDUP(IF(Q264=0,0,Q264)*IF(R264&gt;0,R264,1)*IF(M264&gt;0,M264,1)*IF(O264&gt;0,O264,1),0)</f>
        <v/>
      </c>
      <c r="M264" s="245">
        <f>F264</f>
        <v/>
      </c>
      <c r="N264" s="243">
        <f>G264</f>
        <v/>
      </c>
      <c r="O264" s="245">
        <f>H264</f>
        <v/>
      </c>
      <c r="P264" s="243">
        <f>I264</f>
        <v/>
      </c>
      <c r="Q264" s="246">
        <f>J264</f>
        <v/>
      </c>
      <c r="R264" s="247">
        <f>K264</f>
        <v/>
      </c>
      <c r="S264" s="243" t="n"/>
      <c r="T264" s="249">
        <f>ROUNDUP(IF(Y264=0,0,Y264)*IF(Z264&gt;0,Z264,1)*IF(U264&gt;0,U264,1)*IF(W264&gt;0,W264,1),0)</f>
        <v/>
      </c>
      <c r="U264" s="245">
        <f>M264</f>
        <v/>
      </c>
      <c r="V264" s="243">
        <f>N264</f>
        <v/>
      </c>
      <c r="W264" s="245">
        <f>O264</f>
        <v/>
      </c>
      <c r="X264" s="243">
        <f>P264</f>
        <v/>
      </c>
      <c r="Y264" s="246">
        <f>Q264</f>
        <v/>
      </c>
      <c r="Z264" s="247">
        <f>R264</f>
        <v/>
      </c>
      <c r="AA264" s="243" t="n"/>
      <c r="AB264" s="254" t="n"/>
      <c r="AC264" s="254" t="n"/>
      <c r="AD264" s="254" t="n"/>
      <c r="AE264" s="254" t="n"/>
      <c r="AF264" s="254" t="n"/>
      <c r="AG264" s="255" t="n"/>
      <c r="AH264" s="256" t="n"/>
      <c r="AI264" s="253" t="n"/>
    </row>
    <row r="265" hidden="1" outlineLevel="1" s="592">
      <c r="A265" s="241">
        <f>$A263&amp;"."&amp;2</f>
        <v/>
      </c>
      <c r="B265" s="241" t="n"/>
      <c r="C265" s="255">
        <f>$C$263</f>
        <v/>
      </c>
      <c r="D265" s="243" t="n"/>
      <c r="E265" s="244">
        <f>ROUNDUP(IF(J265=0,0,J265)*IF(K265&gt;0,K265,1)*IF(F265&gt;0,F265,1)*IF(H265&gt;0,H265,1),0)</f>
        <v/>
      </c>
      <c r="F265" s="245" t="n"/>
      <c r="G265" s="243" t="n"/>
      <c r="H265" s="245" t="n"/>
      <c r="I265" s="243" t="n"/>
      <c r="J265" s="246" t="n"/>
      <c r="K265" s="247" t="n"/>
      <c r="L265" s="248">
        <f>ROUNDUP(IF(Q265=0,0,Q265)*IF(R265&gt;0,R265,1)*IF(M265&gt;0,M265,1)*IF(O265&gt;0,O265,1),0)</f>
        <v/>
      </c>
      <c r="M265" s="245">
        <f>F265</f>
        <v/>
      </c>
      <c r="N265" s="243">
        <f>G265</f>
        <v/>
      </c>
      <c r="O265" s="245">
        <f>H265</f>
        <v/>
      </c>
      <c r="P265" s="243">
        <f>I265</f>
        <v/>
      </c>
      <c r="Q265" s="246">
        <f>J265</f>
        <v/>
      </c>
      <c r="R265" s="247">
        <f>K265</f>
        <v/>
      </c>
      <c r="S265" s="243" t="n"/>
      <c r="T265" s="249">
        <f>ROUNDUP(IF(Y265=0,0,Y265)*IF(Z265&gt;0,Z265,1)*IF(U265&gt;0,U265,1)*IF(W265&gt;0,W265,1),0)</f>
        <v/>
      </c>
      <c r="U265" s="245">
        <f>M265</f>
        <v/>
      </c>
      <c r="V265" s="243">
        <f>N265</f>
        <v/>
      </c>
      <c r="W265" s="245">
        <f>O265</f>
        <v/>
      </c>
      <c r="X265" s="243">
        <f>P265</f>
        <v/>
      </c>
      <c r="Y265" s="246">
        <f>Q265</f>
        <v/>
      </c>
      <c r="Z265" s="247">
        <f>R265</f>
        <v/>
      </c>
      <c r="AA265" s="243" t="n"/>
      <c r="AB265" s="254" t="n"/>
      <c r="AC265" s="254" t="n"/>
      <c r="AD265" s="254" t="n"/>
      <c r="AE265" s="254" t="n"/>
      <c r="AF265" s="254" t="n"/>
      <c r="AG265" s="255" t="n"/>
      <c r="AH265" s="256" t="n"/>
      <c r="AI265" s="253" t="n"/>
    </row>
    <row r="266" hidden="1" outlineLevel="1" s="592">
      <c r="A266" s="241">
        <f>$A263&amp;"."&amp;3</f>
        <v/>
      </c>
      <c r="B266" s="241" t="n"/>
      <c r="C266" s="255">
        <f>$C$263</f>
        <v/>
      </c>
      <c r="D266" s="243" t="n"/>
      <c r="E266" s="244">
        <f>ROUNDUP(IF(J266=0,0,J266)*IF(K266&gt;0,K266,1)*IF(F266&gt;0,F266,1)*IF(H266&gt;0,H266,1),0)</f>
        <v/>
      </c>
      <c r="F266" s="245" t="n"/>
      <c r="G266" s="243" t="n"/>
      <c r="H266" s="245" t="n"/>
      <c r="I266" s="243" t="n"/>
      <c r="J266" s="246" t="n"/>
      <c r="K266" s="247" t="n"/>
      <c r="L266" s="248">
        <f>ROUNDUP(IF(Q266=0,0,Q266)*IF(R266&gt;0,R266,1)*IF(M266&gt;0,M266,1)*IF(O266&gt;0,O266,1),0)</f>
        <v/>
      </c>
      <c r="M266" s="245">
        <f>F266</f>
        <v/>
      </c>
      <c r="N266" s="243">
        <f>G266</f>
        <v/>
      </c>
      <c r="O266" s="245">
        <f>H266</f>
        <v/>
      </c>
      <c r="P266" s="243">
        <f>I266</f>
        <v/>
      </c>
      <c r="Q266" s="246">
        <f>J266</f>
        <v/>
      </c>
      <c r="R266" s="247">
        <f>K266</f>
        <v/>
      </c>
      <c r="S266" s="243" t="n"/>
      <c r="T266" s="249">
        <f>ROUNDUP(IF(Y266=0,0,Y266)*IF(Z266&gt;0,Z266,1)*IF(U266&gt;0,U266,1)*IF(W266&gt;0,W266,1),0)</f>
        <v/>
      </c>
      <c r="U266" s="245">
        <f>M266</f>
        <v/>
      </c>
      <c r="V266" s="243">
        <f>N266</f>
        <v/>
      </c>
      <c r="W266" s="245">
        <f>O266</f>
        <v/>
      </c>
      <c r="X266" s="243">
        <f>P266</f>
        <v/>
      </c>
      <c r="Y266" s="246">
        <f>Q266</f>
        <v/>
      </c>
      <c r="Z266" s="247">
        <f>R266</f>
        <v/>
      </c>
      <c r="AA266" s="243" t="n"/>
      <c r="AB266" s="254" t="n"/>
      <c r="AC266" s="254" t="n"/>
      <c r="AD266" s="254" t="n"/>
      <c r="AE266" s="254" t="n"/>
      <c r="AF266" s="254" t="n"/>
      <c r="AG266" s="255" t="n"/>
      <c r="AH266" s="256" t="n"/>
      <c r="AI266" s="253" t="n"/>
    </row>
    <row r="267" hidden="1" outlineLevel="1" s="592">
      <c r="A267" s="241">
        <f>$A263&amp;"."&amp;4</f>
        <v/>
      </c>
      <c r="B267" s="241" t="n"/>
      <c r="C267" s="255">
        <f>$C$263</f>
        <v/>
      </c>
      <c r="D267" s="243" t="n"/>
      <c r="E267" s="244">
        <f>ROUNDUP(IF(J267=0,0,J267)*IF(K267&gt;0,K267,1)*IF(F267&gt;0,F267,1)*IF(H267&gt;0,H267,1),0)</f>
        <v/>
      </c>
      <c r="F267" s="245" t="n"/>
      <c r="G267" s="243" t="n"/>
      <c r="H267" s="245" t="n"/>
      <c r="I267" s="243" t="n"/>
      <c r="J267" s="246" t="n"/>
      <c r="K267" s="247" t="n"/>
      <c r="L267" s="248">
        <f>ROUNDUP(IF(Q267=0,0,Q267)*IF(R267&gt;0,R267,1)*IF(M267&gt;0,M267,1)*IF(O267&gt;0,O267,1),0)</f>
        <v/>
      </c>
      <c r="M267" s="245">
        <f>F267</f>
        <v/>
      </c>
      <c r="N267" s="243">
        <f>G267</f>
        <v/>
      </c>
      <c r="O267" s="245">
        <f>H267</f>
        <v/>
      </c>
      <c r="P267" s="243">
        <f>I267</f>
        <v/>
      </c>
      <c r="Q267" s="246">
        <f>J267</f>
        <v/>
      </c>
      <c r="R267" s="247">
        <f>K267</f>
        <v/>
      </c>
      <c r="S267" s="243" t="n"/>
      <c r="T267" s="249">
        <f>ROUNDUP(IF(Y267=0,0,Y267)*IF(Z267&gt;0,Z267,1)*IF(U267&gt;0,U267,1)*IF(W267&gt;0,W267,1),0)</f>
        <v/>
      </c>
      <c r="U267" s="245">
        <f>M267</f>
        <v/>
      </c>
      <c r="V267" s="243">
        <f>N267</f>
        <v/>
      </c>
      <c r="W267" s="245">
        <f>O267</f>
        <v/>
      </c>
      <c r="X267" s="243">
        <f>P267</f>
        <v/>
      </c>
      <c r="Y267" s="246">
        <f>Q267</f>
        <v/>
      </c>
      <c r="Z267" s="247">
        <f>R267</f>
        <v/>
      </c>
      <c r="AA267" s="243" t="n"/>
      <c r="AB267" s="254" t="n"/>
      <c r="AC267" s="254" t="n"/>
      <c r="AD267" s="254" t="n"/>
      <c r="AE267" s="254" t="n"/>
      <c r="AF267" s="254" t="n"/>
      <c r="AG267" s="255" t="n"/>
      <c r="AH267" s="256" t="n"/>
      <c r="AI267" s="253" t="n"/>
    </row>
    <row r="268" hidden="1" outlineLevel="1" s="592">
      <c r="A268" s="241">
        <f>$A263&amp;"."&amp;5</f>
        <v/>
      </c>
      <c r="B268" s="241" t="n"/>
      <c r="C268" s="255">
        <f>$C$263</f>
        <v/>
      </c>
      <c r="D268" s="243" t="n"/>
      <c r="E268" s="244">
        <f>ROUNDUP(IF(J268=0,0,J268)*IF(K268&gt;0,K268,1)*IF(F268&gt;0,F268,1)*IF(H268&gt;0,H268,1),0)</f>
        <v/>
      </c>
      <c r="F268" s="245" t="n"/>
      <c r="G268" s="243" t="n"/>
      <c r="H268" s="245" t="n"/>
      <c r="I268" s="243" t="n"/>
      <c r="J268" s="246" t="n"/>
      <c r="K268" s="247" t="n"/>
      <c r="L268" s="248">
        <f>ROUNDUP(IF(Q268=0,0,Q268)*IF(R268&gt;0,R268,1)*IF(M268&gt;0,M268,1)*IF(O268&gt;0,O268,1),0)</f>
        <v/>
      </c>
      <c r="M268" s="245">
        <f>F268</f>
        <v/>
      </c>
      <c r="N268" s="243">
        <f>G268</f>
        <v/>
      </c>
      <c r="O268" s="245">
        <f>H268</f>
        <v/>
      </c>
      <c r="P268" s="243">
        <f>I268</f>
        <v/>
      </c>
      <c r="Q268" s="246">
        <f>J268</f>
        <v/>
      </c>
      <c r="R268" s="247">
        <f>K268</f>
        <v/>
      </c>
      <c r="S268" s="243" t="n"/>
      <c r="T268" s="249">
        <f>ROUNDUP(IF(Y268=0,0,Y268)*IF(Z268&gt;0,Z268,1)*IF(U268&gt;0,U268,1)*IF(W268&gt;0,W268,1),0)</f>
        <v/>
      </c>
      <c r="U268" s="245">
        <f>M268</f>
        <v/>
      </c>
      <c r="V268" s="243">
        <f>N268</f>
        <v/>
      </c>
      <c r="W268" s="245">
        <f>O268</f>
        <v/>
      </c>
      <c r="X268" s="243">
        <f>P268</f>
        <v/>
      </c>
      <c r="Y268" s="246">
        <f>Q268</f>
        <v/>
      </c>
      <c r="Z268" s="247">
        <f>R268</f>
        <v/>
      </c>
      <c r="AA268" s="243" t="n"/>
      <c r="AB268" s="254" t="n"/>
      <c r="AC268" s="254" t="n"/>
      <c r="AD268" s="254" t="n"/>
      <c r="AE268" s="254" t="n"/>
      <c r="AF268" s="254" t="n"/>
      <c r="AG268" s="255" t="n"/>
      <c r="AH268" s="256" t="n"/>
      <c r="AI268" s="253" t="n"/>
    </row>
    <row r="269" hidden="1" outlineLevel="1" s="592">
      <c r="A269" s="241">
        <f>$A263&amp;"."&amp;6</f>
        <v/>
      </c>
      <c r="B269" s="241" t="n"/>
      <c r="C269" s="255">
        <f>$C$263</f>
        <v/>
      </c>
      <c r="D269" s="243" t="n"/>
      <c r="E269" s="244">
        <f>ROUNDUP(IF(J269=0,0,J269)*IF(K269&gt;0,K269,1)*IF(F269&gt;0,F269,1)*IF(H269&gt;0,H269,1),0)</f>
        <v/>
      </c>
      <c r="F269" s="245" t="n"/>
      <c r="G269" s="243" t="n"/>
      <c r="H269" s="245" t="n"/>
      <c r="I269" s="243" t="n"/>
      <c r="J269" s="246" t="n"/>
      <c r="K269" s="247" t="n"/>
      <c r="L269" s="248">
        <f>ROUNDUP(IF(Q269=0,0,Q269)*IF(R269&gt;0,R269,1)*IF(M269&gt;0,M269,1)*IF(O269&gt;0,O269,1),0)</f>
        <v/>
      </c>
      <c r="M269" s="245">
        <f>F269</f>
        <v/>
      </c>
      <c r="N269" s="243">
        <f>G269</f>
        <v/>
      </c>
      <c r="O269" s="245">
        <f>H269</f>
        <v/>
      </c>
      <c r="P269" s="243">
        <f>I269</f>
        <v/>
      </c>
      <c r="Q269" s="246">
        <f>J269</f>
        <v/>
      </c>
      <c r="R269" s="247">
        <f>K269</f>
        <v/>
      </c>
      <c r="S269" s="243" t="n"/>
      <c r="T269" s="249">
        <f>ROUNDUP(IF(Y269=0,0,Y269)*IF(Z269&gt;0,Z269,1)*IF(U269&gt;0,U269,1)*IF(W269&gt;0,W269,1),0)</f>
        <v/>
      </c>
      <c r="U269" s="245">
        <f>M269</f>
        <v/>
      </c>
      <c r="V269" s="243">
        <f>N269</f>
        <v/>
      </c>
      <c r="W269" s="245">
        <f>O269</f>
        <v/>
      </c>
      <c r="X269" s="243">
        <f>P269</f>
        <v/>
      </c>
      <c r="Y269" s="246">
        <f>Q269</f>
        <v/>
      </c>
      <c r="Z269" s="247">
        <f>R269</f>
        <v/>
      </c>
      <c r="AA269" s="243" t="n"/>
      <c r="AB269" s="254" t="n"/>
      <c r="AC269" s="254" t="n"/>
      <c r="AD269" s="254" t="n"/>
      <c r="AE269" s="254" t="n"/>
      <c r="AF269" s="254" t="n"/>
      <c r="AG269" s="255" t="n"/>
      <c r="AH269" s="256" t="n"/>
      <c r="AI269" s="253" t="n"/>
    </row>
    <row r="270" hidden="1" outlineLevel="1" s="592">
      <c r="A270" s="241">
        <f>$A263&amp;"."&amp;7</f>
        <v/>
      </c>
      <c r="B270" s="241" t="n"/>
      <c r="C270" s="255">
        <f>$C$263</f>
        <v/>
      </c>
      <c r="D270" s="243" t="n"/>
      <c r="E270" s="244">
        <f>ROUNDUP(IF(J270=0,0,J270)*IF(K270&gt;0,K270,1)*IF(F270&gt;0,F270,1)*IF(H270&gt;0,H270,1),0)</f>
        <v/>
      </c>
      <c r="F270" s="245" t="n"/>
      <c r="G270" s="243" t="n"/>
      <c r="H270" s="245" t="n"/>
      <c r="I270" s="243" t="n"/>
      <c r="J270" s="246" t="n"/>
      <c r="K270" s="247" t="n"/>
      <c r="L270" s="248">
        <f>ROUNDUP(IF(Q270=0,0,Q270)*IF(R270&gt;0,R270,1)*IF(M270&gt;0,M270,1)*IF(O270&gt;0,O270,1),0)</f>
        <v/>
      </c>
      <c r="M270" s="245">
        <f>F270</f>
        <v/>
      </c>
      <c r="N270" s="243">
        <f>G270</f>
        <v/>
      </c>
      <c r="O270" s="245">
        <f>H270</f>
        <v/>
      </c>
      <c r="P270" s="243">
        <f>I270</f>
        <v/>
      </c>
      <c r="Q270" s="246">
        <f>J270</f>
        <v/>
      </c>
      <c r="R270" s="247">
        <f>K270</f>
        <v/>
      </c>
      <c r="S270" s="243" t="n"/>
      <c r="T270" s="249">
        <f>ROUNDUP(IF(Y270=0,0,Y270)*IF(Z270&gt;0,Z270,1)*IF(U270&gt;0,U270,1)*IF(W270&gt;0,W270,1),0)</f>
        <v/>
      </c>
      <c r="U270" s="245">
        <f>M270</f>
        <v/>
      </c>
      <c r="V270" s="243">
        <f>N270</f>
        <v/>
      </c>
      <c r="W270" s="245">
        <f>O270</f>
        <v/>
      </c>
      <c r="X270" s="243">
        <f>P270</f>
        <v/>
      </c>
      <c r="Y270" s="246">
        <f>Q270</f>
        <v/>
      </c>
      <c r="Z270" s="247">
        <f>R270</f>
        <v/>
      </c>
      <c r="AA270" s="243" t="n"/>
      <c r="AB270" s="254" t="n"/>
      <c r="AC270" s="254" t="n"/>
      <c r="AD270" s="254" t="n"/>
      <c r="AE270" s="254" t="n"/>
      <c r="AF270" s="254" t="n"/>
      <c r="AG270" s="255" t="n"/>
      <c r="AH270" s="256" t="n"/>
      <c r="AI270" s="253" t="n"/>
    </row>
    <row r="271" hidden="1" outlineLevel="1" s="592">
      <c r="A271" s="241">
        <f>$A263&amp;"."&amp;8</f>
        <v/>
      </c>
      <c r="B271" s="241" t="n"/>
      <c r="C271" s="255">
        <f>$C$263</f>
        <v/>
      </c>
      <c r="D271" s="243" t="n"/>
      <c r="E271" s="244">
        <f>ROUNDUP(IF(J271=0,0,J271)*IF(K271&gt;0,K271,1)*IF(F271&gt;0,F271,1)*IF(H271&gt;0,H271,1),0)</f>
        <v/>
      </c>
      <c r="F271" s="245" t="n"/>
      <c r="G271" s="243" t="n"/>
      <c r="H271" s="245" t="n"/>
      <c r="I271" s="243" t="n"/>
      <c r="J271" s="246" t="n"/>
      <c r="K271" s="247" t="n"/>
      <c r="L271" s="248">
        <f>ROUNDUP(IF(Q271=0,0,Q271)*IF(R271&gt;0,R271,1)*IF(M271&gt;0,M271,1)*IF(O271&gt;0,O271,1),0)</f>
        <v/>
      </c>
      <c r="M271" s="245">
        <f>F271</f>
        <v/>
      </c>
      <c r="N271" s="243">
        <f>G271</f>
        <v/>
      </c>
      <c r="O271" s="245">
        <f>H271</f>
        <v/>
      </c>
      <c r="P271" s="243">
        <f>I271</f>
        <v/>
      </c>
      <c r="Q271" s="246">
        <f>J271</f>
        <v/>
      </c>
      <c r="R271" s="247">
        <f>K271</f>
        <v/>
      </c>
      <c r="S271" s="243" t="n"/>
      <c r="T271" s="249">
        <f>ROUNDUP(IF(Y271=0,0,Y271)*IF(Z271&gt;0,Z271,1)*IF(U271&gt;0,U271,1)*IF(W271&gt;0,W271,1),0)</f>
        <v/>
      </c>
      <c r="U271" s="245">
        <f>M271</f>
        <v/>
      </c>
      <c r="V271" s="243">
        <f>N271</f>
        <v/>
      </c>
      <c r="W271" s="245">
        <f>O271</f>
        <v/>
      </c>
      <c r="X271" s="243">
        <f>P271</f>
        <v/>
      </c>
      <c r="Y271" s="246">
        <f>Q271</f>
        <v/>
      </c>
      <c r="Z271" s="247">
        <f>R271</f>
        <v/>
      </c>
      <c r="AA271" s="243" t="n"/>
      <c r="AB271" s="254" t="n"/>
      <c r="AC271" s="254" t="n"/>
      <c r="AD271" s="254" t="n"/>
      <c r="AE271" s="254" t="n"/>
      <c r="AF271" s="254" t="n"/>
      <c r="AG271" s="255" t="n"/>
      <c r="AH271" s="256" t="n"/>
      <c r="AI271" s="253" t="n"/>
    </row>
    <row r="272" hidden="1" outlineLevel="1" s="592">
      <c r="A272" s="241">
        <f>$A263&amp;"."&amp;9</f>
        <v/>
      </c>
      <c r="B272" s="241" t="n"/>
      <c r="C272" s="255">
        <f>$C$263</f>
        <v/>
      </c>
      <c r="D272" s="243" t="n"/>
      <c r="E272" s="244">
        <f>ROUNDUP(IF(J272=0,0,J272)*IF(K272&gt;0,K272,1)*IF(F272&gt;0,F272,1)*IF(H272&gt;0,H272,1),0)</f>
        <v/>
      </c>
      <c r="F272" s="245" t="n"/>
      <c r="G272" s="243" t="n"/>
      <c r="H272" s="245" t="n"/>
      <c r="I272" s="243" t="n"/>
      <c r="J272" s="246" t="n"/>
      <c r="K272" s="247" t="n"/>
      <c r="L272" s="248">
        <f>ROUNDUP(IF(Q272=0,0,Q272)*IF(R272&gt;0,R272,1)*IF(M272&gt;0,M272,1)*IF(O272&gt;0,O272,1),0)</f>
        <v/>
      </c>
      <c r="M272" s="245">
        <f>F272</f>
        <v/>
      </c>
      <c r="N272" s="243">
        <f>G272</f>
        <v/>
      </c>
      <c r="O272" s="245">
        <f>H272</f>
        <v/>
      </c>
      <c r="P272" s="243">
        <f>I272</f>
        <v/>
      </c>
      <c r="Q272" s="246">
        <f>J272</f>
        <v/>
      </c>
      <c r="R272" s="247">
        <f>K272</f>
        <v/>
      </c>
      <c r="S272" s="243" t="n"/>
      <c r="T272" s="249">
        <f>ROUNDUP(IF(Y272=0,0,Y272)*IF(Z272&gt;0,Z272,1)*IF(U272&gt;0,U272,1)*IF(W272&gt;0,W272,1),0)</f>
        <v/>
      </c>
      <c r="U272" s="245">
        <f>M272</f>
        <v/>
      </c>
      <c r="V272" s="243">
        <f>N272</f>
        <v/>
      </c>
      <c r="W272" s="245">
        <f>O272</f>
        <v/>
      </c>
      <c r="X272" s="243">
        <f>P272</f>
        <v/>
      </c>
      <c r="Y272" s="246">
        <f>Q272</f>
        <v/>
      </c>
      <c r="Z272" s="247">
        <f>R272</f>
        <v/>
      </c>
      <c r="AA272" s="243" t="n"/>
      <c r="AB272" s="254" t="n"/>
      <c r="AC272" s="254" t="n"/>
      <c r="AD272" s="254" t="n"/>
      <c r="AE272" s="254" t="n"/>
      <c r="AF272" s="254" t="n"/>
      <c r="AG272" s="255" t="n"/>
      <c r="AH272" s="256" t="n"/>
      <c r="AI272" s="253" t="n"/>
    </row>
    <row r="273" hidden="1" outlineLevel="1" s="592">
      <c r="A273" s="241">
        <f>$A263&amp;"."&amp;10</f>
        <v/>
      </c>
      <c r="B273" s="241" t="n"/>
      <c r="C273" s="255">
        <f>$C$263</f>
        <v/>
      </c>
      <c r="D273" s="243" t="n"/>
      <c r="E273" s="244">
        <f>ROUNDUP(IF(J273=0,0,J273)*IF(K273&gt;0,K273,1)*IF(F273&gt;0,F273,1)*IF(H273&gt;0,H273,1),0)</f>
        <v/>
      </c>
      <c r="F273" s="245" t="n"/>
      <c r="G273" s="243" t="n"/>
      <c r="H273" s="245" t="n"/>
      <c r="I273" s="243" t="n"/>
      <c r="J273" s="246" t="n"/>
      <c r="K273" s="247" t="n"/>
      <c r="L273" s="248">
        <f>ROUNDUP(IF(Q273=0,0,Q273)*IF(R273&gt;0,R273,1)*IF(M273&gt;0,M273,1)*IF(O273&gt;0,O273,1),0)</f>
        <v/>
      </c>
      <c r="M273" s="245">
        <f>F273</f>
        <v/>
      </c>
      <c r="N273" s="243">
        <f>G273</f>
        <v/>
      </c>
      <c r="O273" s="245">
        <f>H273</f>
        <v/>
      </c>
      <c r="P273" s="243">
        <f>I273</f>
        <v/>
      </c>
      <c r="Q273" s="246">
        <f>J273</f>
        <v/>
      </c>
      <c r="R273" s="247">
        <f>K273</f>
        <v/>
      </c>
      <c r="S273" s="243" t="n"/>
      <c r="T273" s="249">
        <f>ROUNDUP(IF(Y273=0,0,Y273)*IF(Z273&gt;0,Z273,1)*IF(U273&gt;0,U273,1)*IF(W273&gt;0,W273,1),0)</f>
        <v/>
      </c>
      <c r="U273" s="245">
        <f>M273</f>
        <v/>
      </c>
      <c r="V273" s="243">
        <f>N273</f>
        <v/>
      </c>
      <c r="W273" s="245">
        <f>O273</f>
        <v/>
      </c>
      <c r="X273" s="243">
        <f>P273</f>
        <v/>
      </c>
      <c r="Y273" s="246">
        <f>Q273</f>
        <v/>
      </c>
      <c r="Z273" s="247">
        <f>R273</f>
        <v/>
      </c>
      <c r="AA273" s="243" t="n"/>
      <c r="AB273" s="254" t="n"/>
      <c r="AC273" s="254" t="n"/>
      <c r="AD273" s="254" t="n"/>
      <c r="AE273" s="254" t="n"/>
      <c r="AF273" s="254" t="n"/>
      <c r="AG273" s="255" t="n"/>
      <c r="AH273" s="256" t="n"/>
      <c r="AI273" s="253" t="n"/>
    </row>
    <row r="274" hidden="1" outlineLevel="1" s="592">
      <c r="A274" s="241">
        <f>$A263&amp;"."&amp;11</f>
        <v/>
      </c>
      <c r="B274" s="241" t="n"/>
      <c r="C274" s="255">
        <f>$C$263</f>
        <v/>
      </c>
      <c r="D274" s="243" t="n"/>
      <c r="E274" s="244">
        <f>ROUNDUP(IF(J274=0,0,J274)*IF(K274&gt;0,K274,1)*IF(F274&gt;0,F274,1)*IF(H274&gt;0,H274,1),0)</f>
        <v/>
      </c>
      <c r="F274" s="245" t="n"/>
      <c r="G274" s="243" t="n"/>
      <c r="H274" s="245" t="n"/>
      <c r="I274" s="243" t="n"/>
      <c r="J274" s="246" t="n"/>
      <c r="K274" s="247" t="n"/>
      <c r="L274" s="248">
        <f>ROUNDUP(IF(Q274=0,0,Q274)*IF(R274&gt;0,R274,1)*IF(M274&gt;0,M274,1)*IF(O274&gt;0,O274,1),0)</f>
        <v/>
      </c>
      <c r="M274" s="245">
        <f>F274</f>
        <v/>
      </c>
      <c r="N274" s="243">
        <f>G274</f>
        <v/>
      </c>
      <c r="O274" s="245">
        <f>H274</f>
        <v/>
      </c>
      <c r="P274" s="243">
        <f>I274</f>
        <v/>
      </c>
      <c r="Q274" s="246">
        <f>J274</f>
        <v/>
      </c>
      <c r="R274" s="247">
        <f>K274</f>
        <v/>
      </c>
      <c r="S274" s="243" t="n"/>
      <c r="T274" s="249">
        <f>ROUNDUP(IF(Y274=0,0,Y274)*IF(Z274&gt;0,Z274,1)*IF(U274&gt;0,U274,1)*IF(W274&gt;0,W274,1),0)</f>
        <v/>
      </c>
      <c r="U274" s="245">
        <f>M274</f>
        <v/>
      </c>
      <c r="V274" s="243">
        <f>N274</f>
        <v/>
      </c>
      <c r="W274" s="245">
        <f>O274</f>
        <v/>
      </c>
      <c r="X274" s="243">
        <f>P274</f>
        <v/>
      </c>
      <c r="Y274" s="246">
        <f>Q274</f>
        <v/>
      </c>
      <c r="Z274" s="247">
        <f>R274</f>
        <v/>
      </c>
      <c r="AA274" s="243" t="n"/>
      <c r="AB274" s="254" t="n"/>
      <c r="AC274" s="254" t="n"/>
      <c r="AD274" s="254" t="n"/>
      <c r="AE274" s="254" t="n"/>
      <c r="AF274" s="254" t="n"/>
      <c r="AG274" s="255" t="n"/>
      <c r="AH274" s="256" t="n"/>
      <c r="AI274" s="253" t="n"/>
    </row>
    <row r="275" hidden="1" outlineLevel="1" s="592">
      <c r="A275" s="241">
        <f>$A263&amp;"."&amp;12</f>
        <v/>
      </c>
      <c r="B275" s="241" t="n"/>
      <c r="C275" s="255">
        <f>$C$263</f>
        <v/>
      </c>
      <c r="D275" s="243" t="n"/>
      <c r="E275" s="244">
        <f>ROUNDUP(IF(J275=0,0,J275)*IF(K275&gt;0,K275,1)*IF(F275&gt;0,F275,1)*IF(H275&gt;0,H275,1),0)</f>
        <v/>
      </c>
      <c r="F275" s="245" t="n"/>
      <c r="G275" s="243" t="n"/>
      <c r="H275" s="245" t="n"/>
      <c r="I275" s="243" t="n"/>
      <c r="J275" s="246" t="n"/>
      <c r="K275" s="247" t="n"/>
      <c r="L275" s="248">
        <f>ROUNDUP(IF(Q275=0,0,Q275)*IF(R275&gt;0,R275,1)*IF(M275&gt;0,M275,1)*IF(O275&gt;0,O275,1),0)</f>
        <v/>
      </c>
      <c r="M275" s="245">
        <f>F275</f>
        <v/>
      </c>
      <c r="N275" s="243">
        <f>G275</f>
        <v/>
      </c>
      <c r="O275" s="245">
        <f>H275</f>
        <v/>
      </c>
      <c r="P275" s="243">
        <f>I275</f>
        <v/>
      </c>
      <c r="Q275" s="246">
        <f>J275</f>
        <v/>
      </c>
      <c r="R275" s="247">
        <f>K275</f>
        <v/>
      </c>
      <c r="S275" s="243" t="n"/>
      <c r="T275" s="249">
        <f>ROUNDUP(IF(Y275=0,0,Y275)*IF(Z275&gt;0,Z275,1)*IF(U275&gt;0,U275,1)*IF(W275&gt;0,W275,1),0)</f>
        <v/>
      </c>
      <c r="U275" s="245">
        <f>M275</f>
        <v/>
      </c>
      <c r="V275" s="243">
        <f>N275</f>
        <v/>
      </c>
      <c r="W275" s="245">
        <f>O275</f>
        <v/>
      </c>
      <c r="X275" s="243">
        <f>P275</f>
        <v/>
      </c>
      <c r="Y275" s="246">
        <f>Q275</f>
        <v/>
      </c>
      <c r="Z275" s="247">
        <f>R275</f>
        <v/>
      </c>
      <c r="AA275" s="243" t="n"/>
      <c r="AB275" s="254" t="n"/>
      <c r="AC275" s="254" t="n"/>
      <c r="AD275" s="254" t="n"/>
      <c r="AE275" s="254" t="n"/>
      <c r="AF275" s="254" t="n"/>
      <c r="AG275" s="255" t="n"/>
      <c r="AH275" s="256" t="n"/>
      <c r="AI275" s="253" t="n"/>
    </row>
    <row r="276" hidden="1" outlineLevel="1" s="592">
      <c r="A276" s="241">
        <f>$A263&amp;"."&amp;13</f>
        <v/>
      </c>
      <c r="B276" s="241" t="n"/>
      <c r="C276" s="255">
        <f>$C$263</f>
        <v/>
      </c>
      <c r="D276" s="243" t="n"/>
      <c r="E276" s="244">
        <f>ROUNDUP(IF(J276=0,0,J276)*IF(K276&gt;0,K276,1)*IF(F276&gt;0,F276,1)*IF(H276&gt;0,H276,1),0)</f>
        <v/>
      </c>
      <c r="F276" s="245" t="n"/>
      <c r="G276" s="243" t="n"/>
      <c r="H276" s="245" t="n"/>
      <c r="I276" s="243" t="n"/>
      <c r="J276" s="246" t="n"/>
      <c r="K276" s="247" t="n"/>
      <c r="L276" s="248">
        <f>ROUNDUP(IF(Q276=0,0,Q276)*IF(R276&gt;0,R276,1)*IF(M276&gt;0,M276,1)*IF(O276&gt;0,O276,1),0)</f>
        <v/>
      </c>
      <c r="M276" s="245">
        <f>F276</f>
        <v/>
      </c>
      <c r="N276" s="243">
        <f>G276</f>
        <v/>
      </c>
      <c r="O276" s="245">
        <f>H276</f>
        <v/>
      </c>
      <c r="P276" s="243">
        <f>I276</f>
        <v/>
      </c>
      <c r="Q276" s="246">
        <f>J276</f>
        <v/>
      </c>
      <c r="R276" s="247">
        <f>K276</f>
        <v/>
      </c>
      <c r="S276" s="243" t="n"/>
      <c r="T276" s="249">
        <f>ROUNDUP(IF(Y276=0,0,Y276)*IF(Z276&gt;0,Z276,1)*IF(U276&gt;0,U276,1)*IF(W276&gt;0,W276,1),0)</f>
        <v/>
      </c>
      <c r="U276" s="245">
        <f>M276</f>
        <v/>
      </c>
      <c r="V276" s="243">
        <f>N276</f>
        <v/>
      </c>
      <c r="W276" s="245">
        <f>O276</f>
        <v/>
      </c>
      <c r="X276" s="243">
        <f>P276</f>
        <v/>
      </c>
      <c r="Y276" s="246">
        <f>Q276</f>
        <v/>
      </c>
      <c r="Z276" s="247">
        <f>R276</f>
        <v/>
      </c>
      <c r="AA276" s="243" t="n"/>
      <c r="AB276" s="254" t="n"/>
      <c r="AC276" s="254" t="n"/>
      <c r="AD276" s="254" t="n"/>
      <c r="AE276" s="254" t="n"/>
      <c r="AF276" s="254" t="n"/>
      <c r="AG276" s="255" t="n"/>
      <c r="AH276" s="256" t="n"/>
      <c r="AI276" s="253" t="n"/>
    </row>
    <row r="277" hidden="1" outlineLevel="1" s="592">
      <c r="A277" s="241">
        <f>$A263&amp;"."&amp;14</f>
        <v/>
      </c>
      <c r="B277" s="241" t="n"/>
      <c r="C277" s="255">
        <f>$C$263</f>
        <v/>
      </c>
      <c r="D277" s="243" t="n"/>
      <c r="E277" s="244">
        <f>ROUNDUP(IF(J277=0,0,J277)*IF(K277&gt;0,K277,1)*IF(F277&gt;0,F277,1)*IF(H277&gt;0,H277,1),0)</f>
        <v/>
      </c>
      <c r="F277" s="245" t="n"/>
      <c r="G277" s="243" t="n"/>
      <c r="H277" s="245" t="n"/>
      <c r="I277" s="243" t="n"/>
      <c r="J277" s="246" t="n"/>
      <c r="K277" s="247" t="n"/>
      <c r="L277" s="248">
        <f>ROUNDUP(IF(Q277=0,0,Q277)*IF(R277&gt;0,R277,1)*IF(M277&gt;0,M277,1)*IF(O277&gt;0,O277,1),0)</f>
        <v/>
      </c>
      <c r="M277" s="245">
        <f>F277</f>
        <v/>
      </c>
      <c r="N277" s="243">
        <f>G277</f>
        <v/>
      </c>
      <c r="O277" s="245">
        <f>H277</f>
        <v/>
      </c>
      <c r="P277" s="243">
        <f>I277</f>
        <v/>
      </c>
      <c r="Q277" s="246">
        <f>J277</f>
        <v/>
      </c>
      <c r="R277" s="247">
        <f>K277</f>
        <v/>
      </c>
      <c r="S277" s="243" t="n"/>
      <c r="T277" s="249">
        <f>ROUNDUP(IF(Y277=0,0,Y277)*IF(Z277&gt;0,Z277,1)*IF(U277&gt;0,U277,1)*IF(W277&gt;0,W277,1),0)</f>
        <v/>
      </c>
      <c r="U277" s="245">
        <f>M277</f>
        <v/>
      </c>
      <c r="V277" s="243">
        <f>N277</f>
        <v/>
      </c>
      <c r="W277" s="245">
        <f>O277</f>
        <v/>
      </c>
      <c r="X277" s="243">
        <f>P277</f>
        <v/>
      </c>
      <c r="Y277" s="246">
        <f>Q277</f>
        <v/>
      </c>
      <c r="Z277" s="247">
        <f>R277</f>
        <v/>
      </c>
      <c r="AA277" s="243" t="n"/>
      <c r="AB277" s="254" t="n"/>
      <c r="AC277" s="254" t="n"/>
      <c r="AD277" s="254" t="n"/>
      <c r="AE277" s="254" t="n"/>
      <c r="AF277" s="254" t="n"/>
      <c r="AG277" s="255" t="n"/>
      <c r="AH277" s="256" t="n"/>
      <c r="AI277" s="253" t="n"/>
    </row>
    <row r="278" hidden="1" outlineLevel="1" s="592">
      <c r="A278" s="241">
        <f>$A263&amp;"."&amp;15</f>
        <v/>
      </c>
      <c r="B278" s="241" t="n"/>
      <c r="C278" s="255">
        <f>$C$263</f>
        <v/>
      </c>
      <c r="D278" s="243" t="n"/>
      <c r="E278" s="244">
        <f>ROUNDUP(IF(J278=0,0,J278)*IF(K278&gt;0,K278,1)*IF(F278&gt;0,F278,1)*IF(H278&gt;0,H278,1),0)</f>
        <v/>
      </c>
      <c r="F278" s="245" t="n"/>
      <c r="G278" s="243" t="n"/>
      <c r="H278" s="245" t="n"/>
      <c r="I278" s="243" t="n"/>
      <c r="J278" s="246" t="n"/>
      <c r="K278" s="247" t="n"/>
      <c r="L278" s="248">
        <f>ROUNDUP(IF(Q278=0,0,Q278)*IF(R278&gt;0,R278,1)*IF(M278&gt;0,M278,1)*IF(O278&gt;0,O278,1),0)</f>
        <v/>
      </c>
      <c r="M278" s="245">
        <f>F278</f>
        <v/>
      </c>
      <c r="N278" s="243">
        <f>G278</f>
        <v/>
      </c>
      <c r="O278" s="245">
        <f>H278</f>
        <v/>
      </c>
      <c r="P278" s="243">
        <f>I278</f>
        <v/>
      </c>
      <c r="Q278" s="246">
        <f>J278</f>
        <v/>
      </c>
      <c r="R278" s="247">
        <f>K278</f>
        <v/>
      </c>
      <c r="S278" s="243" t="n"/>
      <c r="T278" s="249">
        <f>ROUNDUP(IF(Y278=0,0,Y278)*IF(Z278&gt;0,Z278,1)*IF(U278&gt;0,U278,1)*IF(W278&gt;0,W278,1),0)</f>
        <v/>
      </c>
      <c r="U278" s="245">
        <f>M278</f>
        <v/>
      </c>
      <c r="V278" s="243">
        <f>N278</f>
        <v/>
      </c>
      <c r="W278" s="245">
        <f>O278</f>
        <v/>
      </c>
      <c r="X278" s="243">
        <f>P278</f>
        <v/>
      </c>
      <c r="Y278" s="246">
        <f>Q278</f>
        <v/>
      </c>
      <c r="Z278" s="247">
        <f>R278</f>
        <v/>
      </c>
      <c r="AA278" s="243" t="n"/>
      <c r="AB278" s="254" t="n"/>
      <c r="AC278" s="254" t="n"/>
      <c r="AD278" s="254" t="n"/>
      <c r="AE278" s="254" t="n"/>
      <c r="AF278" s="254" t="n"/>
      <c r="AG278" s="255" t="n"/>
      <c r="AH278" s="256" t="n"/>
      <c r="AI278" s="253" t="n"/>
    </row>
    <row r="279" hidden="1" outlineLevel="1" s="592">
      <c r="A279" s="241">
        <f>$A263&amp;"."&amp;16</f>
        <v/>
      </c>
      <c r="B279" s="241" t="n"/>
      <c r="C279" s="255">
        <f>$C$263</f>
        <v/>
      </c>
      <c r="D279" s="243" t="n"/>
      <c r="E279" s="244">
        <f>ROUNDUP(IF(J279=0,0,J279)*IF(K279&gt;0,K279,1)*IF(F279&gt;0,F279,1)*IF(H279&gt;0,H279,1),0)</f>
        <v/>
      </c>
      <c r="F279" s="245" t="n"/>
      <c r="G279" s="243" t="n"/>
      <c r="H279" s="245" t="n"/>
      <c r="I279" s="243" t="n"/>
      <c r="J279" s="246" t="n"/>
      <c r="K279" s="247" t="n"/>
      <c r="L279" s="248">
        <f>ROUNDUP(IF(Q279=0,0,Q279)*IF(R279&gt;0,R279,1)*IF(M279&gt;0,M279,1)*IF(O279&gt;0,O279,1),0)</f>
        <v/>
      </c>
      <c r="M279" s="245">
        <f>F279</f>
        <v/>
      </c>
      <c r="N279" s="243">
        <f>G279</f>
        <v/>
      </c>
      <c r="O279" s="245">
        <f>H279</f>
        <v/>
      </c>
      <c r="P279" s="243">
        <f>I279</f>
        <v/>
      </c>
      <c r="Q279" s="246">
        <f>J279</f>
        <v/>
      </c>
      <c r="R279" s="247">
        <f>K279</f>
        <v/>
      </c>
      <c r="S279" s="243" t="n"/>
      <c r="T279" s="249">
        <f>ROUNDUP(IF(Y279=0,0,Y279)*IF(Z279&gt;0,Z279,1)*IF(U279&gt;0,U279,1)*IF(W279&gt;0,W279,1),0)</f>
        <v/>
      </c>
      <c r="U279" s="245">
        <f>M279</f>
        <v/>
      </c>
      <c r="V279" s="243">
        <f>N279</f>
        <v/>
      </c>
      <c r="W279" s="245">
        <f>O279</f>
        <v/>
      </c>
      <c r="X279" s="243">
        <f>P279</f>
        <v/>
      </c>
      <c r="Y279" s="246">
        <f>Q279</f>
        <v/>
      </c>
      <c r="Z279" s="247">
        <f>R279</f>
        <v/>
      </c>
      <c r="AA279" s="243" t="n"/>
      <c r="AB279" s="254" t="n"/>
      <c r="AC279" s="254" t="n"/>
      <c r="AD279" s="254" t="n"/>
      <c r="AE279" s="254" t="n"/>
      <c r="AF279" s="254" t="n"/>
      <c r="AG279" s="255" t="n"/>
      <c r="AH279" s="256" t="n"/>
      <c r="AI279" s="253" t="n"/>
    </row>
    <row r="280" hidden="1" outlineLevel="1" s="592">
      <c r="A280" s="241">
        <f>$A263&amp;"."&amp;17</f>
        <v/>
      </c>
      <c r="B280" s="241" t="n"/>
      <c r="C280" s="255">
        <f>$C$263</f>
        <v/>
      </c>
      <c r="D280" s="243" t="n"/>
      <c r="E280" s="244">
        <f>ROUNDUP(IF(J280=0,0,J280)*IF(K280&gt;0,K280,1)*IF(F280&gt;0,F280,1)*IF(H280&gt;0,H280,1),0)</f>
        <v/>
      </c>
      <c r="F280" s="245" t="n"/>
      <c r="G280" s="243" t="n"/>
      <c r="H280" s="245" t="n"/>
      <c r="I280" s="243" t="n"/>
      <c r="J280" s="246" t="n"/>
      <c r="K280" s="247" t="n"/>
      <c r="L280" s="248">
        <f>ROUNDUP(IF(Q280=0,0,Q280)*IF(R280&gt;0,R280,1)*IF(M280&gt;0,M280,1)*IF(O280&gt;0,O280,1),0)</f>
        <v/>
      </c>
      <c r="M280" s="245">
        <f>F280</f>
        <v/>
      </c>
      <c r="N280" s="243">
        <f>G280</f>
        <v/>
      </c>
      <c r="O280" s="245">
        <f>H280</f>
        <v/>
      </c>
      <c r="P280" s="243">
        <f>I280</f>
        <v/>
      </c>
      <c r="Q280" s="246">
        <f>J280</f>
        <v/>
      </c>
      <c r="R280" s="247">
        <f>K280</f>
        <v/>
      </c>
      <c r="S280" s="243" t="n"/>
      <c r="T280" s="249">
        <f>ROUNDUP(IF(Y280=0,0,Y280)*IF(Z280&gt;0,Z280,1)*IF(U280&gt;0,U280,1)*IF(W280&gt;0,W280,1),0)</f>
        <v/>
      </c>
      <c r="U280" s="245">
        <f>M280</f>
        <v/>
      </c>
      <c r="V280" s="243">
        <f>N280</f>
        <v/>
      </c>
      <c r="W280" s="245">
        <f>O280</f>
        <v/>
      </c>
      <c r="X280" s="243">
        <f>P280</f>
        <v/>
      </c>
      <c r="Y280" s="246">
        <f>Q280</f>
        <v/>
      </c>
      <c r="Z280" s="247">
        <f>R280</f>
        <v/>
      </c>
      <c r="AA280" s="243" t="n"/>
      <c r="AB280" s="254" t="n"/>
      <c r="AC280" s="254" t="n"/>
      <c r="AD280" s="254" t="n"/>
      <c r="AE280" s="254" t="n"/>
      <c r="AF280" s="254" t="n"/>
      <c r="AG280" s="255" t="n"/>
      <c r="AH280" s="256" t="n"/>
      <c r="AI280" s="253" t="n"/>
    </row>
    <row r="281" hidden="1" outlineLevel="1" s="592">
      <c r="A281" s="241">
        <f>$A263&amp;"."&amp;18</f>
        <v/>
      </c>
      <c r="B281" s="241" t="n"/>
      <c r="C281" s="255">
        <f>$C$263</f>
        <v/>
      </c>
      <c r="D281" s="243" t="n"/>
      <c r="E281" s="244">
        <f>ROUNDUP(IF(J281=0,0,J281)*IF(K281&gt;0,K281,1)*IF(F281&gt;0,F281,1)*IF(H281&gt;0,H281,1),0)</f>
        <v/>
      </c>
      <c r="F281" s="245" t="n"/>
      <c r="G281" s="243" t="n"/>
      <c r="H281" s="245" t="n"/>
      <c r="I281" s="243" t="n"/>
      <c r="J281" s="246" t="n"/>
      <c r="K281" s="247" t="n"/>
      <c r="L281" s="248">
        <f>ROUNDUP(IF(Q281=0,0,Q281)*IF(R281&gt;0,R281,1)*IF(M281&gt;0,M281,1)*IF(O281&gt;0,O281,1),0)</f>
        <v/>
      </c>
      <c r="M281" s="245">
        <f>F281</f>
        <v/>
      </c>
      <c r="N281" s="243">
        <f>G281</f>
        <v/>
      </c>
      <c r="O281" s="245">
        <f>H281</f>
        <v/>
      </c>
      <c r="P281" s="243">
        <f>I281</f>
        <v/>
      </c>
      <c r="Q281" s="246">
        <f>J281</f>
        <v/>
      </c>
      <c r="R281" s="247">
        <f>K281</f>
        <v/>
      </c>
      <c r="S281" s="243" t="n"/>
      <c r="T281" s="249">
        <f>ROUNDUP(IF(Y281=0,0,Y281)*IF(Z281&gt;0,Z281,1)*IF(U281&gt;0,U281,1)*IF(W281&gt;0,W281,1),0)</f>
        <v/>
      </c>
      <c r="U281" s="245">
        <f>M281</f>
        <v/>
      </c>
      <c r="V281" s="243">
        <f>N281</f>
        <v/>
      </c>
      <c r="W281" s="245">
        <f>O281</f>
        <v/>
      </c>
      <c r="X281" s="243">
        <f>P281</f>
        <v/>
      </c>
      <c r="Y281" s="246">
        <f>Q281</f>
        <v/>
      </c>
      <c r="Z281" s="247">
        <f>R281</f>
        <v/>
      </c>
      <c r="AA281" s="243" t="n"/>
      <c r="AB281" s="254" t="n"/>
      <c r="AC281" s="254" t="n"/>
      <c r="AD281" s="254" t="n"/>
      <c r="AE281" s="254" t="n"/>
      <c r="AF281" s="254" t="n"/>
      <c r="AG281" s="255" t="n"/>
      <c r="AH281" s="256" t="n"/>
      <c r="AI281" s="253" t="n"/>
    </row>
    <row r="282" hidden="1" outlineLevel="1" s="592">
      <c r="A282" s="241">
        <f>$A263&amp;"."&amp;19</f>
        <v/>
      </c>
      <c r="B282" s="241" t="n"/>
      <c r="C282" s="255">
        <f>$C$263</f>
        <v/>
      </c>
      <c r="D282" s="243" t="n"/>
      <c r="E282" s="244">
        <f>ROUNDUP(IF(J282=0,0,J282)*IF(K282&gt;0,K282,1)*IF(F282&gt;0,F282,1)*IF(H282&gt;0,H282,1),0)</f>
        <v/>
      </c>
      <c r="F282" s="245" t="n"/>
      <c r="G282" s="243" t="n"/>
      <c r="H282" s="245" t="n"/>
      <c r="I282" s="243" t="n"/>
      <c r="J282" s="246" t="n"/>
      <c r="K282" s="247" t="n"/>
      <c r="L282" s="248">
        <f>ROUNDUP(IF(Q282=0,0,Q282)*IF(R282&gt;0,R282,1)*IF(M282&gt;0,M282,1)*IF(O282&gt;0,O282,1),0)</f>
        <v/>
      </c>
      <c r="M282" s="245">
        <f>F282</f>
        <v/>
      </c>
      <c r="N282" s="243">
        <f>G282</f>
        <v/>
      </c>
      <c r="O282" s="245">
        <f>H282</f>
        <v/>
      </c>
      <c r="P282" s="243">
        <f>I282</f>
        <v/>
      </c>
      <c r="Q282" s="246">
        <f>J282</f>
        <v/>
      </c>
      <c r="R282" s="247">
        <f>K282</f>
        <v/>
      </c>
      <c r="S282" s="243" t="n"/>
      <c r="T282" s="249">
        <f>ROUNDUP(IF(Y282=0,0,Y282)*IF(Z282&gt;0,Z282,1)*IF(U282&gt;0,U282,1)*IF(W282&gt;0,W282,1),0)</f>
        <v/>
      </c>
      <c r="U282" s="245">
        <f>M282</f>
        <v/>
      </c>
      <c r="V282" s="243">
        <f>N282</f>
        <v/>
      </c>
      <c r="W282" s="245">
        <f>O282</f>
        <v/>
      </c>
      <c r="X282" s="243">
        <f>P282</f>
        <v/>
      </c>
      <c r="Y282" s="246">
        <f>Q282</f>
        <v/>
      </c>
      <c r="Z282" s="247">
        <f>R282</f>
        <v/>
      </c>
      <c r="AA282" s="243" t="n"/>
      <c r="AB282" s="254" t="n"/>
      <c r="AC282" s="254" t="n"/>
      <c r="AD282" s="254" t="n"/>
      <c r="AE282" s="254" t="n"/>
      <c r="AF282" s="254" t="n"/>
      <c r="AG282" s="255" t="n"/>
      <c r="AH282" s="256" t="n"/>
      <c r="AI282" s="253" t="n"/>
    </row>
    <row r="283" hidden="1" outlineLevel="1" s="592">
      <c r="A283" s="241">
        <f>$A263&amp;"."&amp;20</f>
        <v/>
      </c>
      <c r="B283" s="241" t="n"/>
      <c r="C283" s="255">
        <f>$C$263</f>
        <v/>
      </c>
      <c r="D283" s="243" t="n"/>
      <c r="E283" s="244">
        <f>ROUNDUP(IF(J283=0,0,J283)*IF(K283&gt;0,K283,1)*IF(F283&gt;0,F283,1)*IF(H283&gt;0,H283,1),0)</f>
        <v/>
      </c>
      <c r="F283" s="245" t="n"/>
      <c r="G283" s="243" t="n"/>
      <c r="H283" s="245" t="n"/>
      <c r="I283" s="243" t="n"/>
      <c r="J283" s="246" t="n"/>
      <c r="K283" s="247" t="n"/>
      <c r="L283" s="248">
        <f>ROUNDUP(IF(Q283=0,0,Q283)*IF(R283&gt;0,R283,1)*IF(M283&gt;0,M283,1)*IF(O283&gt;0,O283,1),0)</f>
        <v/>
      </c>
      <c r="M283" s="245">
        <f>F283</f>
        <v/>
      </c>
      <c r="N283" s="243">
        <f>G283</f>
        <v/>
      </c>
      <c r="O283" s="245">
        <f>H283</f>
        <v/>
      </c>
      <c r="P283" s="243">
        <f>I283</f>
        <v/>
      </c>
      <c r="Q283" s="246">
        <f>J283</f>
        <v/>
      </c>
      <c r="R283" s="247">
        <f>K283</f>
        <v/>
      </c>
      <c r="S283" s="243" t="n"/>
      <c r="T283" s="249">
        <f>ROUNDUP(IF(Y283=0,0,Y283)*IF(Z283&gt;0,Z283,1)*IF(U283&gt;0,U283,1)*IF(W283&gt;0,W283,1),0)</f>
        <v/>
      </c>
      <c r="U283" s="245">
        <f>M283</f>
        <v/>
      </c>
      <c r="V283" s="243">
        <f>N283</f>
        <v/>
      </c>
      <c r="W283" s="245">
        <f>O283</f>
        <v/>
      </c>
      <c r="X283" s="243">
        <f>P283</f>
        <v/>
      </c>
      <c r="Y283" s="246">
        <f>Q283</f>
        <v/>
      </c>
      <c r="Z283" s="247">
        <f>R283</f>
        <v/>
      </c>
      <c r="AA283" s="243" t="n"/>
      <c r="AB283" s="254" t="n"/>
      <c r="AC283" s="254" t="n"/>
      <c r="AD283" s="254" t="n"/>
      <c r="AE283" s="254" t="n"/>
      <c r="AF283" s="254" t="n"/>
      <c r="AG283" s="255" t="n"/>
      <c r="AH283" s="256" t="n"/>
      <c r="AI283" s="253" t="n"/>
    </row>
    <row r="284" collapsed="1" s="592">
      <c r="A284" s="257" t="n">
        <v>14</v>
      </c>
      <c r="B284" s="257">
        <f>IFERROR(__xludf.DUMMYFUNCTION("vlookup(C284,IMPORTRANGE(REF!$B$3,""FP!B:C""),2,0)"),"#N/A")</f>
        <v/>
      </c>
      <c r="C284" s="237" t="inlineStr">
        <is>
          <t>ชื่อกิจกรรมที่ 14</t>
        </is>
      </c>
      <c r="D284" s="232" t="n"/>
      <c r="E284" s="233">
        <f>SUM(E285:E304)</f>
        <v/>
      </c>
      <c r="F284" s="234" t="n"/>
      <c r="G284" s="235" t="n"/>
      <c r="H284" s="234" t="n"/>
      <c r="I284" s="235" t="n"/>
      <c r="J284" s="233" t="n"/>
      <c r="K284" s="236" t="n"/>
      <c r="L284" s="233">
        <f>SUM(L285:L304)</f>
        <v/>
      </c>
      <c r="M284" s="234" t="n"/>
      <c r="N284" s="235" t="n"/>
      <c r="O284" s="234" t="n"/>
      <c r="P284" s="235" t="n"/>
      <c r="Q284" s="233" t="n"/>
      <c r="R284" s="236" t="n"/>
      <c r="S284" s="235" t="n"/>
      <c r="T284" s="233">
        <f>SUM(T285:T304)</f>
        <v/>
      </c>
      <c r="U284" s="234" t="n"/>
      <c r="V284" s="235" t="n"/>
      <c r="W284" s="234" t="n"/>
      <c r="X284" s="235" t="n"/>
      <c r="Y284" s="233" t="n"/>
      <c r="Z284" s="236" t="n"/>
      <c r="AA284" s="235" t="n"/>
      <c r="AB284" s="237" t="n"/>
      <c r="AC284" s="237" t="n"/>
      <c r="AD284" s="237" t="n"/>
      <c r="AE284" s="237" t="n"/>
      <c r="AF284" s="237" t="n"/>
      <c r="AG284" s="238" t="b">
        <v>0</v>
      </c>
      <c r="AH284" s="239" t="n"/>
      <c r="AI284" s="253" t="n"/>
    </row>
    <row r="285" hidden="1" outlineLevel="1" s="592">
      <c r="A285" s="241">
        <f>$A284&amp;"."&amp;1</f>
        <v/>
      </c>
      <c r="B285" s="241" t="n"/>
      <c r="C285" s="255">
        <f>$C$284</f>
        <v/>
      </c>
      <c r="D285" s="243" t="n"/>
      <c r="E285" s="244">
        <f>ROUNDUP(IF(J285=0,0,J285)*IF(K285&gt;0,K285,1)*IF(F285&gt;0,F285,1)*IF(H285&gt;0,H285,1),0)</f>
        <v/>
      </c>
      <c r="F285" s="245" t="n"/>
      <c r="G285" s="243" t="n"/>
      <c r="H285" s="245" t="n"/>
      <c r="I285" s="243" t="n"/>
      <c r="J285" s="246" t="n"/>
      <c r="K285" s="247" t="n"/>
      <c r="L285" s="248">
        <f>ROUNDUP(IF(Q285=0,0,Q285)*IF(R285&gt;0,R285,1)*IF(M285&gt;0,M285,1)*IF(O285&gt;0,O285,1),0)</f>
        <v/>
      </c>
      <c r="M285" s="245">
        <f>F285</f>
        <v/>
      </c>
      <c r="N285" s="243">
        <f>G285</f>
        <v/>
      </c>
      <c r="O285" s="245">
        <f>H285</f>
        <v/>
      </c>
      <c r="P285" s="243">
        <f>I285</f>
        <v/>
      </c>
      <c r="Q285" s="246">
        <f>J285</f>
        <v/>
      </c>
      <c r="R285" s="247">
        <f>K285</f>
        <v/>
      </c>
      <c r="S285" s="243" t="n"/>
      <c r="T285" s="249">
        <f>ROUNDUP(IF(Y285=0,0,Y285)*IF(Z285&gt;0,Z285,1)*IF(U285&gt;0,U285,1)*IF(W285&gt;0,W285,1),0)</f>
        <v/>
      </c>
      <c r="U285" s="245">
        <f>M285</f>
        <v/>
      </c>
      <c r="V285" s="243">
        <f>N285</f>
        <v/>
      </c>
      <c r="W285" s="245">
        <f>O285</f>
        <v/>
      </c>
      <c r="X285" s="243">
        <f>P285</f>
        <v/>
      </c>
      <c r="Y285" s="246">
        <f>Q285</f>
        <v/>
      </c>
      <c r="Z285" s="247">
        <f>R285</f>
        <v/>
      </c>
      <c r="AA285" s="243" t="n"/>
      <c r="AB285" s="254" t="n"/>
      <c r="AC285" s="254" t="n"/>
      <c r="AD285" s="254" t="n"/>
      <c r="AE285" s="254" t="n"/>
      <c r="AF285" s="254" t="n"/>
      <c r="AG285" s="255" t="n"/>
      <c r="AH285" s="256" t="n"/>
      <c r="AI285" s="253" t="n"/>
    </row>
    <row r="286" hidden="1" outlineLevel="1" s="592">
      <c r="A286" s="241">
        <f>$A284&amp;"."&amp;2</f>
        <v/>
      </c>
      <c r="B286" s="241" t="n"/>
      <c r="C286" s="255">
        <f>$C$284</f>
        <v/>
      </c>
      <c r="D286" s="243" t="n"/>
      <c r="E286" s="244">
        <f>ROUNDUP(IF(J286=0,0,J286)*IF(K286&gt;0,K286,1)*IF(F286&gt;0,F286,1)*IF(H286&gt;0,H286,1),0)</f>
        <v/>
      </c>
      <c r="F286" s="245" t="n"/>
      <c r="G286" s="243" t="n"/>
      <c r="H286" s="245" t="n"/>
      <c r="I286" s="243" t="n"/>
      <c r="J286" s="246" t="n"/>
      <c r="K286" s="247" t="n"/>
      <c r="L286" s="248">
        <f>ROUNDUP(IF(Q286=0,0,Q286)*IF(R286&gt;0,R286,1)*IF(M286&gt;0,M286,1)*IF(O286&gt;0,O286,1),0)</f>
        <v/>
      </c>
      <c r="M286" s="245">
        <f>F286</f>
        <v/>
      </c>
      <c r="N286" s="243">
        <f>G286</f>
        <v/>
      </c>
      <c r="O286" s="245">
        <f>H286</f>
        <v/>
      </c>
      <c r="P286" s="243">
        <f>I286</f>
        <v/>
      </c>
      <c r="Q286" s="246">
        <f>J286</f>
        <v/>
      </c>
      <c r="R286" s="247">
        <f>K286</f>
        <v/>
      </c>
      <c r="S286" s="243" t="n"/>
      <c r="T286" s="249">
        <f>ROUNDUP(IF(Y286=0,0,Y286)*IF(Z286&gt;0,Z286,1)*IF(U286&gt;0,U286,1)*IF(W286&gt;0,W286,1),0)</f>
        <v/>
      </c>
      <c r="U286" s="245">
        <f>M286</f>
        <v/>
      </c>
      <c r="V286" s="243">
        <f>N286</f>
        <v/>
      </c>
      <c r="W286" s="245">
        <f>O286</f>
        <v/>
      </c>
      <c r="X286" s="243">
        <f>P286</f>
        <v/>
      </c>
      <c r="Y286" s="246">
        <f>Q286</f>
        <v/>
      </c>
      <c r="Z286" s="247">
        <f>R286</f>
        <v/>
      </c>
      <c r="AA286" s="243" t="n"/>
      <c r="AB286" s="254" t="n"/>
      <c r="AC286" s="254" t="n"/>
      <c r="AD286" s="254" t="n"/>
      <c r="AE286" s="254" t="n"/>
      <c r="AF286" s="254" t="n"/>
      <c r="AG286" s="255" t="n"/>
      <c r="AH286" s="256" t="n"/>
      <c r="AI286" s="253" t="n"/>
    </row>
    <row r="287" hidden="1" outlineLevel="1" s="592">
      <c r="A287" s="241">
        <f>$A284&amp;"."&amp;3</f>
        <v/>
      </c>
      <c r="B287" s="241" t="n"/>
      <c r="C287" s="255">
        <f>$C$284</f>
        <v/>
      </c>
      <c r="D287" s="243" t="n"/>
      <c r="E287" s="244">
        <f>ROUNDUP(IF(J287=0,0,J287)*IF(K287&gt;0,K287,1)*IF(F287&gt;0,F287,1)*IF(H287&gt;0,H287,1),0)</f>
        <v/>
      </c>
      <c r="F287" s="245" t="n"/>
      <c r="G287" s="243" t="n"/>
      <c r="H287" s="245" t="n"/>
      <c r="I287" s="243" t="n"/>
      <c r="J287" s="246" t="n"/>
      <c r="K287" s="247" t="n"/>
      <c r="L287" s="248">
        <f>ROUNDUP(IF(Q287=0,0,Q287)*IF(R287&gt;0,R287,1)*IF(M287&gt;0,M287,1)*IF(O287&gt;0,O287,1),0)</f>
        <v/>
      </c>
      <c r="M287" s="245">
        <f>F287</f>
        <v/>
      </c>
      <c r="N287" s="243">
        <f>G287</f>
        <v/>
      </c>
      <c r="O287" s="245">
        <f>H287</f>
        <v/>
      </c>
      <c r="P287" s="243">
        <f>I287</f>
        <v/>
      </c>
      <c r="Q287" s="246">
        <f>J287</f>
        <v/>
      </c>
      <c r="R287" s="247">
        <f>K287</f>
        <v/>
      </c>
      <c r="S287" s="243" t="n"/>
      <c r="T287" s="249">
        <f>ROUNDUP(IF(Y287=0,0,Y287)*IF(Z287&gt;0,Z287,1)*IF(U287&gt;0,U287,1)*IF(W287&gt;0,W287,1),0)</f>
        <v/>
      </c>
      <c r="U287" s="245">
        <f>M287</f>
        <v/>
      </c>
      <c r="V287" s="243">
        <f>N287</f>
        <v/>
      </c>
      <c r="W287" s="245">
        <f>O287</f>
        <v/>
      </c>
      <c r="X287" s="243">
        <f>P287</f>
        <v/>
      </c>
      <c r="Y287" s="246">
        <f>Q287</f>
        <v/>
      </c>
      <c r="Z287" s="247">
        <f>R287</f>
        <v/>
      </c>
      <c r="AA287" s="243" t="n"/>
      <c r="AB287" s="254" t="n"/>
      <c r="AC287" s="254" t="n"/>
      <c r="AD287" s="254" t="n"/>
      <c r="AE287" s="254" t="n"/>
      <c r="AF287" s="254" t="n"/>
      <c r="AG287" s="255" t="n"/>
      <c r="AH287" s="256" t="n"/>
      <c r="AI287" s="253" t="n"/>
    </row>
    <row r="288" hidden="1" outlineLevel="1" s="592">
      <c r="A288" s="241">
        <f>$A284&amp;"."&amp;4</f>
        <v/>
      </c>
      <c r="B288" s="241" t="n"/>
      <c r="C288" s="255">
        <f>$C$284</f>
        <v/>
      </c>
      <c r="D288" s="243" t="n"/>
      <c r="E288" s="244">
        <f>ROUNDUP(IF(J288=0,0,J288)*IF(K288&gt;0,K288,1)*IF(F288&gt;0,F288,1)*IF(H288&gt;0,H288,1),0)</f>
        <v/>
      </c>
      <c r="F288" s="245" t="n"/>
      <c r="G288" s="243" t="n"/>
      <c r="H288" s="245" t="n"/>
      <c r="I288" s="243" t="n"/>
      <c r="J288" s="246" t="n"/>
      <c r="K288" s="247" t="n"/>
      <c r="L288" s="248">
        <f>ROUNDUP(IF(Q288=0,0,Q288)*IF(R288&gt;0,R288,1)*IF(M288&gt;0,M288,1)*IF(O288&gt;0,O288,1),0)</f>
        <v/>
      </c>
      <c r="M288" s="245">
        <f>F288</f>
        <v/>
      </c>
      <c r="N288" s="243">
        <f>G288</f>
        <v/>
      </c>
      <c r="O288" s="245">
        <f>H288</f>
        <v/>
      </c>
      <c r="P288" s="243">
        <f>I288</f>
        <v/>
      </c>
      <c r="Q288" s="246">
        <f>J288</f>
        <v/>
      </c>
      <c r="R288" s="247">
        <f>K288</f>
        <v/>
      </c>
      <c r="S288" s="243" t="n"/>
      <c r="T288" s="249">
        <f>ROUNDUP(IF(Y288=0,0,Y288)*IF(Z288&gt;0,Z288,1)*IF(U288&gt;0,U288,1)*IF(W288&gt;0,W288,1),0)</f>
        <v/>
      </c>
      <c r="U288" s="245">
        <f>M288</f>
        <v/>
      </c>
      <c r="V288" s="243">
        <f>N288</f>
        <v/>
      </c>
      <c r="W288" s="245">
        <f>O288</f>
        <v/>
      </c>
      <c r="X288" s="243">
        <f>P288</f>
        <v/>
      </c>
      <c r="Y288" s="246">
        <f>Q288</f>
        <v/>
      </c>
      <c r="Z288" s="247">
        <f>R288</f>
        <v/>
      </c>
      <c r="AA288" s="243" t="n"/>
      <c r="AB288" s="254" t="n"/>
      <c r="AC288" s="254" t="n"/>
      <c r="AD288" s="254" t="n"/>
      <c r="AE288" s="254" t="n"/>
      <c r="AF288" s="254" t="n"/>
      <c r="AG288" s="255" t="n"/>
      <c r="AH288" s="256" t="n"/>
      <c r="AI288" s="253" t="n"/>
    </row>
    <row r="289" hidden="1" outlineLevel="1" s="592">
      <c r="A289" s="241">
        <f>$A284&amp;"."&amp;5</f>
        <v/>
      </c>
      <c r="B289" s="241" t="n"/>
      <c r="C289" s="255">
        <f>$C$284</f>
        <v/>
      </c>
      <c r="D289" s="243" t="n"/>
      <c r="E289" s="244">
        <f>ROUNDUP(IF(J289=0,0,J289)*IF(K289&gt;0,K289,1)*IF(F289&gt;0,F289,1)*IF(H289&gt;0,H289,1),0)</f>
        <v/>
      </c>
      <c r="F289" s="245" t="n"/>
      <c r="G289" s="243" t="n"/>
      <c r="H289" s="245" t="n"/>
      <c r="I289" s="243" t="n"/>
      <c r="J289" s="246" t="n"/>
      <c r="K289" s="247" t="n"/>
      <c r="L289" s="248">
        <f>ROUNDUP(IF(Q289=0,0,Q289)*IF(R289&gt;0,R289,1)*IF(M289&gt;0,M289,1)*IF(O289&gt;0,O289,1),0)</f>
        <v/>
      </c>
      <c r="M289" s="245">
        <f>F289</f>
        <v/>
      </c>
      <c r="N289" s="243">
        <f>G289</f>
        <v/>
      </c>
      <c r="O289" s="245">
        <f>H289</f>
        <v/>
      </c>
      <c r="P289" s="243">
        <f>I289</f>
        <v/>
      </c>
      <c r="Q289" s="246">
        <f>J289</f>
        <v/>
      </c>
      <c r="R289" s="247">
        <f>K289</f>
        <v/>
      </c>
      <c r="S289" s="243" t="n"/>
      <c r="T289" s="249">
        <f>ROUNDUP(IF(Y289=0,0,Y289)*IF(Z289&gt;0,Z289,1)*IF(U289&gt;0,U289,1)*IF(W289&gt;0,W289,1),0)</f>
        <v/>
      </c>
      <c r="U289" s="245">
        <f>M289</f>
        <v/>
      </c>
      <c r="V289" s="243">
        <f>N289</f>
        <v/>
      </c>
      <c r="W289" s="245">
        <f>O289</f>
        <v/>
      </c>
      <c r="X289" s="243">
        <f>P289</f>
        <v/>
      </c>
      <c r="Y289" s="246">
        <f>Q289</f>
        <v/>
      </c>
      <c r="Z289" s="247">
        <f>R289</f>
        <v/>
      </c>
      <c r="AA289" s="243" t="n"/>
      <c r="AB289" s="254" t="n"/>
      <c r="AC289" s="254" t="n"/>
      <c r="AD289" s="254" t="n"/>
      <c r="AE289" s="254" t="n"/>
      <c r="AF289" s="254" t="n"/>
      <c r="AG289" s="255" t="n"/>
      <c r="AH289" s="256" t="n"/>
      <c r="AI289" s="253" t="n"/>
    </row>
    <row r="290" hidden="1" outlineLevel="1" s="592">
      <c r="A290" s="241">
        <f>$A284&amp;"."&amp;6</f>
        <v/>
      </c>
      <c r="B290" s="241" t="n"/>
      <c r="C290" s="255">
        <f>$C$284</f>
        <v/>
      </c>
      <c r="D290" s="243" t="n"/>
      <c r="E290" s="244">
        <f>ROUNDUP(IF(J290=0,0,J290)*IF(K290&gt;0,K290,1)*IF(F290&gt;0,F290,1)*IF(H290&gt;0,H290,1),0)</f>
        <v/>
      </c>
      <c r="F290" s="245" t="n"/>
      <c r="G290" s="243" t="n"/>
      <c r="H290" s="245" t="n"/>
      <c r="I290" s="243" t="n"/>
      <c r="J290" s="246" t="n"/>
      <c r="K290" s="247" t="n"/>
      <c r="L290" s="248">
        <f>ROUNDUP(IF(Q290=0,0,Q290)*IF(R290&gt;0,R290,1)*IF(M290&gt;0,M290,1)*IF(O290&gt;0,O290,1),0)</f>
        <v/>
      </c>
      <c r="M290" s="245">
        <f>F290</f>
        <v/>
      </c>
      <c r="N290" s="243">
        <f>G290</f>
        <v/>
      </c>
      <c r="O290" s="245">
        <f>H290</f>
        <v/>
      </c>
      <c r="P290" s="243">
        <f>I290</f>
        <v/>
      </c>
      <c r="Q290" s="246">
        <f>J290</f>
        <v/>
      </c>
      <c r="R290" s="247">
        <f>K290</f>
        <v/>
      </c>
      <c r="S290" s="243" t="n"/>
      <c r="T290" s="249">
        <f>ROUNDUP(IF(Y290=0,0,Y290)*IF(Z290&gt;0,Z290,1)*IF(U290&gt;0,U290,1)*IF(W290&gt;0,W290,1),0)</f>
        <v/>
      </c>
      <c r="U290" s="245">
        <f>M290</f>
        <v/>
      </c>
      <c r="V290" s="243">
        <f>N290</f>
        <v/>
      </c>
      <c r="W290" s="245">
        <f>O290</f>
        <v/>
      </c>
      <c r="X290" s="243">
        <f>P290</f>
        <v/>
      </c>
      <c r="Y290" s="246">
        <f>Q290</f>
        <v/>
      </c>
      <c r="Z290" s="247">
        <f>R290</f>
        <v/>
      </c>
      <c r="AA290" s="243" t="n"/>
      <c r="AB290" s="254" t="n"/>
      <c r="AC290" s="254" t="n"/>
      <c r="AD290" s="254" t="n"/>
      <c r="AE290" s="254" t="n"/>
      <c r="AF290" s="254" t="n"/>
      <c r="AG290" s="255" t="n"/>
      <c r="AH290" s="256" t="n"/>
      <c r="AI290" s="253" t="n"/>
    </row>
    <row r="291" hidden="1" outlineLevel="1" s="592">
      <c r="A291" s="241">
        <f>$A284&amp;"."&amp;7</f>
        <v/>
      </c>
      <c r="B291" s="241" t="n"/>
      <c r="C291" s="255">
        <f>$C$284</f>
        <v/>
      </c>
      <c r="D291" s="243" t="n"/>
      <c r="E291" s="244">
        <f>ROUNDUP(IF(J291=0,0,J291)*IF(K291&gt;0,K291,1)*IF(F291&gt;0,F291,1)*IF(H291&gt;0,H291,1),0)</f>
        <v/>
      </c>
      <c r="F291" s="245" t="n"/>
      <c r="G291" s="243" t="n"/>
      <c r="H291" s="245" t="n"/>
      <c r="I291" s="243" t="n"/>
      <c r="J291" s="246" t="n"/>
      <c r="K291" s="247" t="n"/>
      <c r="L291" s="248">
        <f>ROUNDUP(IF(Q291=0,0,Q291)*IF(R291&gt;0,R291,1)*IF(M291&gt;0,M291,1)*IF(O291&gt;0,O291,1),0)</f>
        <v/>
      </c>
      <c r="M291" s="245">
        <f>F291</f>
        <v/>
      </c>
      <c r="N291" s="243">
        <f>G291</f>
        <v/>
      </c>
      <c r="O291" s="245">
        <f>H291</f>
        <v/>
      </c>
      <c r="P291" s="243">
        <f>I291</f>
        <v/>
      </c>
      <c r="Q291" s="246">
        <f>J291</f>
        <v/>
      </c>
      <c r="R291" s="247">
        <f>K291</f>
        <v/>
      </c>
      <c r="S291" s="243" t="n"/>
      <c r="T291" s="249">
        <f>ROUNDUP(IF(Y291=0,0,Y291)*IF(Z291&gt;0,Z291,1)*IF(U291&gt;0,U291,1)*IF(W291&gt;0,W291,1),0)</f>
        <v/>
      </c>
      <c r="U291" s="245">
        <f>M291</f>
        <v/>
      </c>
      <c r="V291" s="243">
        <f>N291</f>
        <v/>
      </c>
      <c r="W291" s="245">
        <f>O291</f>
        <v/>
      </c>
      <c r="X291" s="243">
        <f>P291</f>
        <v/>
      </c>
      <c r="Y291" s="246">
        <f>Q291</f>
        <v/>
      </c>
      <c r="Z291" s="247">
        <f>R291</f>
        <v/>
      </c>
      <c r="AA291" s="243" t="n"/>
      <c r="AB291" s="254" t="n"/>
      <c r="AC291" s="254" t="n"/>
      <c r="AD291" s="254" t="n"/>
      <c r="AE291" s="254" t="n"/>
      <c r="AF291" s="254" t="n"/>
      <c r="AG291" s="255" t="n"/>
      <c r="AH291" s="256" t="n"/>
      <c r="AI291" s="253" t="n"/>
    </row>
    <row r="292" hidden="1" outlineLevel="1" s="592">
      <c r="A292" s="241">
        <f>$A284&amp;"."&amp;8</f>
        <v/>
      </c>
      <c r="B292" s="241" t="n"/>
      <c r="C292" s="255">
        <f>$C$284</f>
        <v/>
      </c>
      <c r="D292" s="243" t="n"/>
      <c r="E292" s="244">
        <f>ROUNDUP(IF(J292=0,0,J292)*IF(K292&gt;0,K292,1)*IF(F292&gt;0,F292,1)*IF(H292&gt;0,H292,1),0)</f>
        <v/>
      </c>
      <c r="F292" s="245" t="n"/>
      <c r="G292" s="243" t="n"/>
      <c r="H292" s="245" t="n"/>
      <c r="I292" s="243" t="n"/>
      <c r="J292" s="246" t="n"/>
      <c r="K292" s="247" t="n"/>
      <c r="L292" s="248">
        <f>ROUNDUP(IF(Q292=0,0,Q292)*IF(R292&gt;0,R292,1)*IF(M292&gt;0,M292,1)*IF(O292&gt;0,O292,1),0)</f>
        <v/>
      </c>
      <c r="M292" s="245">
        <f>F292</f>
        <v/>
      </c>
      <c r="N292" s="243">
        <f>G292</f>
        <v/>
      </c>
      <c r="O292" s="245">
        <f>H292</f>
        <v/>
      </c>
      <c r="P292" s="243">
        <f>I292</f>
        <v/>
      </c>
      <c r="Q292" s="246">
        <f>J292</f>
        <v/>
      </c>
      <c r="R292" s="247">
        <f>K292</f>
        <v/>
      </c>
      <c r="S292" s="243" t="n"/>
      <c r="T292" s="249">
        <f>ROUNDUP(IF(Y292=0,0,Y292)*IF(Z292&gt;0,Z292,1)*IF(U292&gt;0,U292,1)*IF(W292&gt;0,W292,1),0)</f>
        <v/>
      </c>
      <c r="U292" s="245">
        <f>M292</f>
        <v/>
      </c>
      <c r="V292" s="243">
        <f>N292</f>
        <v/>
      </c>
      <c r="W292" s="245">
        <f>O292</f>
        <v/>
      </c>
      <c r="X292" s="243">
        <f>P292</f>
        <v/>
      </c>
      <c r="Y292" s="246">
        <f>Q292</f>
        <v/>
      </c>
      <c r="Z292" s="247">
        <f>R292</f>
        <v/>
      </c>
      <c r="AA292" s="243" t="n"/>
      <c r="AB292" s="254" t="n"/>
      <c r="AC292" s="254" t="n"/>
      <c r="AD292" s="254" t="n"/>
      <c r="AE292" s="254" t="n"/>
      <c r="AF292" s="254" t="n"/>
      <c r="AG292" s="255" t="n"/>
      <c r="AH292" s="256" t="n"/>
      <c r="AI292" s="253" t="n"/>
    </row>
    <row r="293" hidden="1" outlineLevel="1" s="592">
      <c r="A293" s="241">
        <f>$A284&amp;"."&amp;9</f>
        <v/>
      </c>
      <c r="B293" s="241" t="n"/>
      <c r="C293" s="255">
        <f>$C$284</f>
        <v/>
      </c>
      <c r="D293" s="243" t="n"/>
      <c r="E293" s="244">
        <f>ROUNDUP(IF(J293=0,0,J293)*IF(K293&gt;0,K293,1)*IF(F293&gt;0,F293,1)*IF(H293&gt;0,H293,1),0)</f>
        <v/>
      </c>
      <c r="F293" s="245" t="n"/>
      <c r="G293" s="243" t="n"/>
      <c r="H293" s="245" t="n"/>
      <c r="I293" s="243" t="n"/>
      <c r="J293" s="246" t="n"/>
      <c r="K293" s="247" t="n"/>
      <c r="L293" s="248">
        <f>ROUNDUP(IF(Q293=0,0,Q293)*IF(R293&gt;0,R293,1)*IF(M293&gt;0,M293,1)*IF(O293&gt;0,O293,1),0)</f>
        <v/>
      </c>
      <c r="M293" s="245">
        <f>F293</f>
        <v/>
      </c>
      <c r="N293" s="243">
        <f>G293</f>
        <v/>
      </c>
      <c r="O293" s="245">
        <f>H293</f>
        <v/>
      </c>
      <c r="P293" s="243">
        <f>I293</f>
        <v/>
      </c>
      <c r="Q293" s="246">
        <f>J293</f>
        <v/>
      </c>
      <c r="R293" s="247">
        <f>K293</f>
        <v/>
      </c>
      <c r="S293" s="243" t="n"/>
      <c r="T293" s="249">
        <f>ROUNDUP(IF(Y293=0,0,Y293)*IF(Z293&gt;0,Z293,1)*IF(U293&gt;0,U293,1)*IF(W293&gt;0,W293,1),0)</f>
        <v/>
      </c>
      <c r="U293" s="245">
        <f>M293</f>
        <v/>
      </c>
      <c r="V293" s="243">
        <f>N293</f>
        <v/>
      </c>
      <c r="W293" s="245">
        <f>O293</f>
        <v/>
      </c>
      <c r="X293" s="243">
        <f>P293</f>
        <v/>
      </c>
      <c r="Y293" s="246">
        <f>Q293</f>
        <v/>
      </c>
      <c r="Z293" s="247">
        <f>R293</f>
        <v/>
      </c>
      <c r="AA293" s="243" t="n"/>
      <c r="AB293" s="254" t="n"/>
      <c r="AC293" s="254" t="n"/>
      <c r="AD293" s="254" t="n"/>
      <c r="AE293" s="254" t="n"/>
      <c r="AF293" s="254" t="n"/>
      <c r="AG293" s="255" t="n"/>
      <c r="AH293" s="256" t="n"/>
      <c r="AI293" s="253" t="n"/>
    </row>
    <row r="294" hidden="1" outlineLevel="1" s="592">
      <c r="A294" s="241">
        <f>$A284&amp;"."&amp;10</f>
        <v/>
      </c>
      <c r="B294" s="241" t="n"/>
      <c r="C294" s="255">
        <f>$C$284</f>
        <v/>
      </c>
      <c r="D294" s="243" t="n"/>
      <c r="E294" s="244">
        <f>ROUNDUP(IF(J294=0,0,J294)*IF(K294&gt;0,K294,1)*IF(F294&gt;0,F294,1)*IF(H294&gt;0,H294,1),0)</f>
        <v/>
      </c>
      <c r="F294" s="245" t="n"/>
      <c r="G294" s="243" t="n"/>
      <c r="H294" s="245" t="n"/>
      <c r="I294" s="243" t="n"/>
      <c r="J294" s="246" t="n"/>
      <c r="K294" s="247" t="n"/>
      <c r="L294" s="248">
        <f>ROUNDUP(IF(Q294=0,0,Q294)*IF(R294&gt;0,R294,1)*IF(M294&gt;0,M294,1)*IF(O294&gt;0,O294,1),0)</f>
        <v/>
      </c>
      <c r="M294" s="245">
        <f>F294</f>
        <v/>
      </c>
      <c r="N294" s="243">
        <f>G294</f>
        <v/>
      </c>
      <c r="O294" s="245">
        <f>H294</f>
        <v/>
      </c>
      <c r="P294" s="243">
        <f>I294</f>
        <v/>
      </c>
      <c r="Q294" s="246">
        <f>J294</f>
        <v/>
      </c>
      <c r="R294" s="247">
        <f>K294</f>
        <v/>
      </c>
      <c r="S294" s="243" t="n"/>
      <c r="T294" s="249">
        <f>ROUNDUP(IF(Y294=0,0,Y294)*IF(Z294&gt;0,Z294,1)*IF(U294&gt;0,U294,1)*IF(W294&gt;0,W294,1),0)</f>
        <v/>
      </c>
      <c r="U294" s="245">
        <f>M294</f>
        <v/>
      </c>
      <c r="V294" s="243">
        <f>N294</f>
        <v/>
      </c>
      <c r="W294" s="245">
        <f>O294</f>
        <v/>
      </c>
      <c r="X294" s="243">
        <f>P294</f>
        <v/>
      </c>
      <c r="Y294" s="246">
        <f>Q294</f>
        <v/>
      </c>
      <c r="Z294" s="247">
        <f>R294</f>
        <v/>
      </c>
      <c r="AA294" s="243" t="n"/>
      <c r="AB294" s="254" t="n"/>
      <c r="AC294" s="254" t="n"/>
      <c r="AD294" s="254" t="n"/>
      <c r="AE294" s="254" t="n"/>
      <c r="AF294" s="254" t="n"/>
      <c r="AG294" s="255" t="n"/>
      <c r="AH294" s="256" t="n"/>
      <c r="AI294" s="253" t="n"/>
    </row>
    <row r="295" hidden="1" outlineLevel="1" s="592">
      <c r="A295" s="241">
        <f>$A284&amp;"."&amp;11</f>
        <v/>
      </c>
      <c r="B295" s="241" t="n"/>
      <c r="C295" s="255">
        <f>$C$284</f>
        <v/>
      </c>
      <c r="D295" s="243" t="n"/>
      <c r="E295" s="244">
        <f>ROUNDUP(IF(J295=0,0,J295)*IF(K295&gt;0,K295,1)*IF(F295&gt;0,F295,1)*IF(H295&gt;0,H295,1),0)</f>
        <v/>
      </c>
      <c r="F295" s="245" t="n"/>
      <c r="G295" s="243" t="n"/>
      <c r="H295" s="245" t="n"/>
      <c r="I295" s="243" t="n"/>
      <c r="J295" s="246" t="n"/>
      <c r="K295" s="247" t="n"/>
      <c r="L295" s="248">
        <f>ROUNDUP(IF(Q295=0,0,Q295)*IF(R295&gt;0,R295,1)*IF(M295&gt;0,M295,1)*IF(O295&gt;0,O295,1),0)</f>
        <v/>
      </c>
      <c r="M295" s="245">
        <f>F295</f>
        <v/>
      </c>
      <c r="N295" s="243">
        <f>G295</f>
        <v/>
      </c>
      <c r="O295" s="245">
        <f>H295</f>
        <v/>
      </c>
      <c r="P295" s="243">
        <f>I295</f>
        <v/>
      </c>
      <c r="Q295" s="246">
        <f>J295</f>
        <v/>
      </c>
      <c r="R295" s="247">
        <f>K295</f>
        <v/>
      </c>
      <c r="S295" s="243" t="n"/>
      <c r="T295" s="249">
        <f>ROUNDUP(IF(Y295=0,0,Y295)*IF(Z295&gt;0,Z295,1)*IF(U295&gt;0,U295,1)*IF(W295&gt;0,W295,1),0)</f>
        <v/>
      </c>
      <c r="U295" s="245">
        <f>M295</f>
        <v/>
      </c>
      <c r="V295" s="243">
        <f>N295</f>
        <v/>
      </c>
      <c r="W295" s="245">
        <f>O295</f>
        <v/>
      </c>
      <c r="X295" s="243">
        <f>P295</f>
        <v/>
      </c>
      <c r="Y295" s="246">
        <f>Q295</f>
        <v/>
      </c>
      <c r="Z295" s="247">
        <f>R295</f>
        <v/>
      </c>
      <c r="AA295" s="243" t="n"/>
      <c r="AB295" s="254" t="n"/>
      <c r="AC295" s="254" t="n"/>
      <c r="AD295" s="254" t="n"/>
      <c r="AE295" s="254" t="n"/>
      <c r="AF295" s="254" t="n"/>
      <c r="AG295" s="255" t="n"/>
      <c r="AH295" s="256" t="n"/>
      <c r="AI295" s="253" t="n"/>
    </row>
    <row r="296" hidden="1" outlineLevel="1" s="592">
      <c r="A296" s="241">
        <f>$A284&amp;"."&amp;12</f>
        <v/>
      </c>
      <c r="B296" s="241" t="n"/>
      <c r="C296" s="255">
        <f>$C$284</f>
        <v/>
      </c>
      <c r="D296" s="243" t="n"/>
      <c r="E296" s="244">
        <f>ROUNDUP(IF(J296=0,0,J296)*IF(K296&gt;0,K296,1)*IF(F296&gt;0,F296,1)*IF(H296&gt;0,H296,1),0)</f>
        <v/>
      </c>
      <c r="F296" s="245" t="n"/>
      <c r="G296" s="243" t="n"/>
      <c r="H296" s="245" t="n"/>
      <c r="I296" s="243" t="n"/>
      <c r="J296" s="246" t="n"/>
      <c r="K296" s="247" t="n"/>
      <c r="L296" s="248">
        <f>ROUNDUP(IF(Q296=0,0,Q296)*IF(R296&gt;0,R296,1)*IF(M296&gt;0,M296,1)*IF(O296&gt;0,O296,1),0)</f>
        <v/>
      </c>
      <c r="M296" s="245">
        <f>F296</f>
        <v/>
      </c>
      <c r="N296" s="243">
        <f>G296</f>
        <v/>
      </c>
      <c r="O296" s="245">
        <f>H296</f>
        <v/>
      </c>
      <c r="P296" s="243">
        <f>I296</f>
        <v/>
      </c>
      <c r="Q296" s="246">
        <f>J296</f>
        <v/>
      </c>
      <c r="R296" s="247">
        <f>K296</f>
        <v/>
      </c>
      <c r="S296" s="243" t="n"/>
      <c r="T296" s="249">
        <f>ROUNDUP(IF(Y296=0,0,Y296)*IF(Z296&gt;0,Z296,1)*IF(U296&gt;0,U296,1)*IF(W296&gt;0,W296,1),0)</f>
        <v/>
      </c>
      <c r="U296" s="245">
        <f>M296</f>
        <v/>
      </c>
      <c r="V296" s="243">
        <f>N296</f>
        <v/>
      </c>
      <c r="W296" s="245">
        <f>O296</f>
        <v/>
      </c>
      <c r="X296" s="243">
        <f>P296</f>
        <v/>
      </c>
      <c r="Y296" s="246">
        <f>Q296</f>
        <v/>
      </c>
      <c r="Z296" s="247">
        <f>R296</f>
        <v/>
      </c>
      <c r="AA296" s="243" t="n"/>
      <c r="AB296" s="254" t="n"/>
      <c r="AC296" s="254" t="n"/>
      <c r="AD296" s="254" t="n"/>
      <c r="AE296" s="254" t="n"/>
      <c r="AF296" s="254" t="n"/>
      <c r="AG296" s="255" t="n"/>
      <c r="AH296" s="256" t="n"/>
      <c r="AI296" s="253" t="n"/>
    </row>
    <row r="297" hidden="1" outlineLevel="1" s="592">
      <c r="A297" s="241">
        <f>$A284&amp;"."&amp;13</f>
        <v/>
      </c>
      <c r="B297" s="241" t="n"/>
      <c r="C297" s="255">
        <f>$C$284</f>
        <v/>
      </c>
      <c r="D297" s="243" t="n"/>
      <c r="E297" s="244">
        <f>ROUNDUP(IF(J297=0,0,J297)*IF(K297&gt;0,K297,1)*IF(F297&gt;0,F297,1)*IF(H297&gt;0,H297,1),0)</f>
        <v/>
      </c>
      <c r="F297" s="245" t="n"/>
      <c r="G297" s="243" t="n"/>
      <c r="H297" s="245" t="n"/>
      <c r="I297" s="243" t="n"/>
      <c r="J297" s="246" t="n"/>
      <c r="K297" s="247" t="n"/>
      <c r="L297" s="248">
        <f>ROUNDUP(IF(Q297=0,0,Q297)*IF(R297&gt;0,R297,1)*IF(M297&gt;0,M297,1)*IF(O297&gt;0,O297,1),0)</f>
        <v/>
      </c>
      <c r="M297" s="245">
        <f>F297</f>
        <v/>
      </c>
      <c r="N297" s="243">
        <f>G297</f>
        <v/>
      </c>
      <c r="O297" s="245">
        <f>H297</f>
        <v/>
      </c>
      <c r="P297" s="243">
        <f>I297</f>
        <v/>
      </c>
      <c r="Q297" s="246">
        <f>J297</f>
        <v/>
      </c>
      <c r="R297" s="247">
        <f>K297</f>
        <v/>
      </c>
      <c r="S297" s="243" t="n"/>
      <c r="T297" s="249">
        <f>ROUNDUP(IF(Y297=0,0,Y297)*IF(Z297&gt;0,Z297,1)*IF(U297&gt;0,U297,1)*IF(W297&gt;0,W297,1),0)</f>
        <v/>
      </c>
      <c r="U297" s="245">
        <f>M297</f>
        <v/>
      </c>
      <c r="V297" s="243">
        <f>N297</f>
        <v/>
      </c>
      <c r="W297" s="245">
        <f>O297</f>
        <v/>
      </c>
      <c r="X297" s="243">
        <f>P297</f>
        <v/>
      </c>
      <c r="Y297" s="246">
        <f>Q297</f>
        <v/>
      </c>
      <c r="Z297" s="247">
        <f>R297</f>
        <v/>
      </c>
      <c r="AA297" s="243" t="n"/>
      <c r="AB297" s="254" t="n"/>
      <c r="AC297" s="254" t="n"/>
      <c r="AD297" s="254" t="n"/>
      <c r="AE297" s="254" t="n"/>
      <c r="AF297" s="254" t="n"/>
      <c r="AG297" s="255" t="n"/>
      <c r="AH297" s="256" t="n"/>
      <c r="AI297" s="253" t="n"/>
    </row>
    <row r="298" hidden="1" outlineLevel="1" s="592">
      <c r="A298" s="241">
        <f>$A284&amp;"."&amp;14</f>
        <v/>
      </c>
      <c r="B298" s="241" t="n"/>
      <c r="C298" s="255">
        <f>$C$284</f>
        <v/>
      </c>
      <c r="D298" s="243" t="n"/>
      <c r="E298" s="244">
        <f>ROUNDUP(IF(J298=0,0,J298)*IF(K298&gt;0,K298,1)*IF(F298&gt;0,F298,1)*IF(H298&gt;0,H298,1),0)</f>
        <v/>
      </c>
      <c r="F298" s="245" t="n"/>
      <c r="G298" s="243" t="n"/>
      <c r="H298" s="245" t="n"/>
      <c r="I298" s="243" t="n"/>
      <c r="J298" s="246" t="n"/>
      <c r="K298" s="247" t="n"/>
      <c r="L298" s="248">
        <f>ROUNDUP(IF(Q298=0,0,Q298)*IF(R298&gt;0,R298,1)*IF(M298&gt;0,M298,1)*IF(O298&gt;0,O298,1),0)</f>
        <v/>
      </c>
      <c r="M298" s="245">
        <f>F298</f>
        <v/>
      </c>
      <c r="N298" s="243">
        <f>G298</f>
        <v/>
      </c>
      <c r="O298" s="245">
        <f>H298</f>
        <v/>
      </c>
      <c r="P298" s="243">
        <f>I298</f>
        <v/>
      </c>
      <c r="Q298" s="246">
        <f>J298</f>
        <v/>
      </c>
      <c r="R298" s="247">
        <f>K298</f>
        <v/>
      </c>
      <c r="S298" s="243" t="n"/>
      <c r="T298" s="249">
        <f>ROUNDUP(IF(Y298=0,0,Y298)*IF(Z298&gt;0,Z298,1)*IF(U298&gt;0,U298,1)*IF(W298&gt;0,W298,1),0)</f>
        <v/>
      </c>
      <c r="U298" s="245">
        <f>M298</f>
        <v/>
      </c>
      <c r="V298" s="243">
        <f>N298</f>
        <v/>
      </c>
      <c r="W298" s="245">
        <f>O298</f>
        <v/>
      </c>
      <c r="X298" s="243">
        <f>P298</f>
        <v/>
      </c>
      <c r="Y298" s="246">
        <f>Q298</f>
        <v/>
      </c>
      <c r="Z298" s="247">
        <f>R298</f>
        <v/>
      </c>
      <c r="AA298" s="243" t="n"/>
      <c r="AB298" s="254" t="n"/>
      <c r="AC298" s="254" t="n"/>
      <c r="AD298" s="254" t="n"/>
      <c r="AE298" s="254" t="n"/>
      <c r="AF298" s="254" t="n"/>
      <c r="AG298" s="255" t="n"/>
      <c r="AH298" s="256" t="n"/>
      <c r="AI298" s="253" t="n"/>
    </row>
    <row r="299" hidden="1" outlineLevel="1" s="592">
      <c r="A299" s="241">
        <f>$A284&amp;"."&amp;15</f>
        <v/>
      </c>
      <c r="B299" s="241" t="n"/>
      <c r="C299" s="255">
        <f>$C$284</f>
        <v/>
      </c>
      <c r="D299" s="243" t="n"/>
      <c r="E299" s="244">
        <f>ROUNDUP(IF(J299=0,0,J299)*IF(K299&gt;0,K299,1)*IF(F299&gt;0,F299,1)*IF(H299&gt;0,H299,1),0)</f>
        <v/>
      </c>
      <c r="F299" s="245" t="n"/>
      <c r="G299" s="243" t="n"/>
      <c r="H299" s="245" t="n"/>
      <c r="I299" s="243" t="n"/>
      <c r="J299" s="246" t="n"/>
      <c r="K299" s="247" t="n"/>
      <c r="L299" s="248">
        <f>ROUNDUP(IF(Q299=0,0,Q299)*IF(R299&gt;0,R299,1)*IF(M299&gt;0,M299,1)*IF(O299&gt;0,O299,1),0)</f>
        <v/>
      </c>
      <c r="M299" s="245">
        <f>F299</f>
        <v/>
      </c>
      <c r="N299" s="243">
        <f>G299</f>
        <v/>
      </c>
      <c r="O299" s="245">
        <f>H299</f>
        <v/>
      </c>
      <c r="P299" s="243">
        <f>I299</f>
        <v/>
      </c>
      <c r="Q299" s="246">
        <f>J299</f>
        <v/>
      </c>
      <c r="R299" s="247">
        <f>K299</f>
        <v/>
      </c>
      <c r="S299" s="243" t="n"/>
      <c r="T299" s="249">
        <f>ROUNDUP(IF(Y299=0,0,Y299)*IF(Z299&gt;0,Z299,1)*IF(U299&gt;0,U299,1)*IF(W299&gt;0,W299,1),0)</f>
        <v/>
      </c>
      <c r="U299" s="245">
        <f>M299</f>
        <v/>
      </c>
      <c r="V299" s="243">
        <f>N299</f>
        <v/>
      </c>
      <c r="W299" s="245">
        <f>O299</f>
        <v/>
      </c>
      <c r="X299" s="243">
        <f>P299</f>
        <v/>
      </c>
      <c r="Y299" s="246">
        <f>Q299</f>
        <v/>
      </c>
      <c r="Z299" s="247">
        <f>R299</f>
        <v/>
      </c>
      <c r="AA299" s="243" t="n"/>
      <c r="AB299" s="254" t="n"/>
      <c r="AC299" s="254" t="n"/>
      <c r="AD299" s="254" t="n"/>
      <c r="AE299" s="254" t="n"/>
      <c r="AF299" s="254" t="n"/>
      <c r="AG299" s="255" t="n"/>
      <c r="AH299" s="256" t="n"/>
      <c r="AI299" s="253" t="n"/>
    </row>
    <row r="300" hidden="1" outlineLevel="1" s="592">
      <c r="A300" s="241">
        <f>$A284&amp;"."&amp;16</f>
        <v/>
      </c>
      <c r="B300" s="241" t="n"/>
      <c r="C300" s="255">
        <f>$C$284</f>
        <v/>
      </c>
      <c r="D300" s="243" t="n"/>
      <c r="E300" s="244">
        <f>ROUNDUP(IF(J300=0,0,J300)*IF(K300&gt;0,K300,1)*IF(F300&gt;0,F300,1)*IF(H300&gt;0,H300,1),0)</f>
        <v/>
      </c>
      <c r="F300" s="245" t="n"/>
      <c r="G300" s="243" t="n"/>
      <c r="H300" s="245" t="n"/>
      <c r="I300" s="243" t="n"/>
      <c r="J300" s="246" t="n"/>
      <c r="K300" s="247" t="n"/>
      <c r="L300" s="248">
        <f>ROUNDUP(IF(Q300=0,0,Q300)*IF(R300&gt;0,R300,1)*IF(M300&gt;0,M300,1)*IF(O300&gt;0,O300,1),0)</f>
        <v/>
      </c>
      <c r="M300" s="245">
        <f>F300</f>
        <v/>
      </c>
      <c r="N300" s="243">
        <f>G300</f>
        <v/>
      </c>
      <c r="O300" s="245">
        <f>H300</f>
        <v/>
      </c>
      <c r="P300" s="243">
        <f>I300</f>
        <v/>
      </c>
      <c r="Q300" s="246">
        <f>J300</f>
        <v/>
      </c>
      <c r="R300" s="247">
        <f>K300</f>
        <v/>
      </c>
      <c r="S300" s="243" t="n"/>
      <c r="T300" s="249">
        <f>ROUNDUP(IF(Y300=0,0,Y300)*IF(Z300&gt;0,Z300,1)*IF(U300&gt;0,U300,1)*IF(W300&gt;0,W300,1),0)</f>
        <v/>
      </c>
      <c r="U300" s="245">
        <f>M300</f>
        <v/>
      </c>
      <c r="V300" s="243">
        <f>N300</f>
        <v/>
      </c>
      <c r="W300" s="245">
        <f>O300</f>
        <v/>
      </c>
      <c r="X300" s="243">
        <f>P300</f>
        <v/>
      </c>
      <c r="Y300" s="246">
        <f>Q300</f>
        <v/>
      </c>
      <c r="Z300" s="247">
        <f>R300</f>
        <v/>
      </c>
      <c r="AA300" s="243" t="n"/>
      <c r="AB300" s="254" t="n"/>
      <c r="AC300" s="254" t="n"/>
      <c r="AD300" s="254" t="n"/>
      <c r="AE300" s="254" t="n"/>
      <c r="AF300" s="254" t="n"/>
      <c r="AG300" s="255" t="n"/>
      <c r="AH300" s="256" t="n"/>
      <c r="AI300" s="253" t="n"/>
    </row>
    <row r="301" hidden="1" outlineLevel="1" s="592">
      <c r="A301" s="241">
        <f>$A284&amp;"."&amp;17</f>
        <v/>
      </c>
      <c r="B301" s="241" t="n"/>
      <c r="C301" s="255">
        <f>$C$284</f>
        <v/>
      </c>
      <c r="D301" s="243" t="n"/>
      <c r="E301" s="244">
        <f>ROUNDUP(IF(J301=0,0,J301)*IF(K301&gt;0,K301,1)*IF(F301&gt;0,F301,1)*IF(H301&gt;0,H301,1),0)</f>
        <v/>
      </c>
      <c r="F301" s="245" t="n"/>
      <c r="G301" s="243" t="n"/>
      <c r="H301" s="245" t="n"/>
      <c r="I301" s="243" t="n"/>
      <c r="J301" s="246" t="n"/>
      <c r="K301" s="247" t="n"/>
      <c r="L301" s="248">
        <f>ROUNDUP(IF(Q301=0,0,Q301)*IF(R301&gt;0,R301,1)*IF(M301&gt;0,M301,1)*IF(O301&gt;0,O301,1),0)</f>
        <v/>
      </c>
      <c r="M301" s="245">
        <f>F301</f>
        <v/>
      </c>
      <c r="N301" s="243">
        <f>G301</f>
        <v/>
      </c>
      <c r="O301" s="245">
        <f>H301</f>
        <v/>
      </c>
      <c r="P301" s="243">
        <f>I301</f>
        <v/>
      </c>
      <c r="Q301" s="246">
        <f>J301</f>
        <v/>
      </c>
      <c r="R301" s="247">
        <f>K301</f>
        <v/>
      </c>
      <c r="S301" s="243" t="n"/>
      <c r="T301" s="249">
        <f>ROUNDUP(IF(Y301=0,0,Y301)*IF(Z301&gt;0,Z301,1)*IF(U301&gt;0,U301,1)*IF(W301&gt;0,W301,1),0)</f>
        <v/>
      </c>
      <c r="U301" s="245">
        <f>M301</f>
        <v/>
      </c>
      <c r="V301" s="243">
        <f>N301</f>
        <v/>
      </c>
      <c r="W301" s="245">
        <f>O301</f>
        <v/>
      </c>
      <c r="X301" s="243">
        <f>P301</f>
        <v/>
      </c>
      <c r="Y301" s="246">
        <f>Q301</f>
        <v/>
      </c>
      <c r="Z301" s="247">
        <f>R301</f>
        <v/>
      </c>
      <c r="AA301" s="243" t="n"/>
      <c r="AB301" s="254" t="n"/>
      <c r="AC301" s="254" t="n"/>
      <c r="AD301" s="254" t="n"/>
      <c r="AE301" s="254" t="n"/>
      <c r="AF301" s="254" t="n"/>
      <c r="AG301" s="255" t="n"/>
      <c r="AH301" s="256" t="n"/>
      <c r="AI301" s="253" t="n"/>
    </row>
    <row r="302" hidden="1" outlineLevel="1" s="592">
      <c r="A302" s="241">
        <f>$A284&amp;"."&amp;18</f>
        <v/>
      </c>
      <c r="B302" s="241" t="n"/>
      <c r="C302" s="255">
        <f>$C$284</f>
        <v/>
      </c>
      <c r="D302" s="243" t="n"/>
      <c r="E302" s="244">
        <f>ROUNDUP(IF(J302=0,0,J302)*IF(K302&gt;0,K302,1)*IF(F302&gt;0,F302,1)*IF(H302&gt;0,H302,1),0)</f>
        <v/>
      </c>
      <c r="F302" s="245" t="n"/>
      <c r="G302" s="243" t="n"/>
      <c r="H302" s="245" t="n"/>
      <c r="I302" s="243" t="n"/>
      <c r="J302" s="246" t="n"/>
      <c r="K302" s="247" t="n"/>
      <c r="L302" s="248">
        <f>ROUNDUP(IF(Q302=0,0,Q302)*IF(R302&gt;0,R302,1)*IF(M302&gt;0,M302,1)*IF(O302&gt;0,O302,1),0)</f>
        <v/>
      </c>
      <c r="M302" s="245">
        <f>F302</f>
        <v/>
      </c>
      <c r="N302" s="243">
        <f>G302</f>
        <v/>
      </c>
      <c r="O302" s="245">
        <f>H302</f>
        <v/>
      </c>
      <c r="P302" s="243">
        <f>I302</f>
        <v/>
      </c>
      <c r="Q302" s="246">
        <f>J302</f>
        <v/>
      </c>
      <c r="R302" s="247">
        <f>K302</f>
        <v/>
      </c>
      <c r="S302" s="243" t="n"/>
      <c r="T302" s="249">
        <f>ROUNDUP(IF(Y302=0,0,Y302)*IF(Z302&gt;0,Z302,1)*IF(U302&gt;0,U302,1)*IF(W302&gt;0,W302,1),0)</f>
        <v/>
      </c>
      <c r="U302" s="245">
        <f>M302</f>
        <v/>
      </c>
      <c r="V302" s="243">
        <f>N302</f>
        <v/>
      </c>
      <c r="W302" s="245">
        <f>O302</f>
        <v/>
      </c>
      <c r="X302" s="243">
        <f>P302</f>
        <v/>
      </c>
      <c r="Y302" s="246">
        <f>Q302</f>
        <v/>
      </c>
      <c r="Z302" s="247">
        <f>R302</f>
        <v/>
      </c>
      <c r="AA302" s="243" t="n"/>
      <c r="AB302" s="254" t="n"/>
      <c r="AC302" s="254" t="n"/>
      <c r="AD302" s="254" t="n"/>
      <c r="AE302" s="254" t="n"/>
      <c r="AF302" s="254" t="n"/>
      <c r="AG302" s="255" t="n"/>
      <c r="AH302" s="256" t="n"/>
      <c r="AI302" s="253" t="n"/>
    </row>
    <row r="303" hidden="1" outlineLevel="1" s="592">
      <c r="A303" s="241">
        <f>$A284&amp;"."&amp;19</f>
        <v/>
      </c>
      <c r="B303" s="241" t="n"/>
      <c r="C303" s="255">
        <f>$C$284</f>
        <v/>
      </c>
      <c r="D303" s="243" t="n"/>
      <c r="E303" s="244">
        <f>ROUNDUP(IF(J303=0,0,J303)*IF(K303&gt;0,K303,1)*IF(F303&gt;0,F303,1)*IF(H303&gt;0,H303,1),0)</f>
        <v/>
      </c>
      <c r="F303" s="245" t="n"/>
      <c r="G303" s="243" t="n"/>
      <c r="H303" s="245" t="n"/>
      <c r="I303" s="243" t="n"/>
      <c r="J303" s="246" t="n"/>
      <c r="K303" s="247" t="n"/>
      <c r="L303" s="248">
        <f>ROUNDUP(IF(Q303=0,0,Q303)*IF(R303&gt;0,R303,1)*IF(M303&gt;0,M303,1)*IF(O303&gt;0,O303,1),0)</f>
        <v/>
      </c>
      <c r="M303" s="245">
        <f>F303</f>
        <v/>
      </c>
      <c r="N303" s="243">
        <f>G303</f>
        <v/>
      </c>
      <c r="O303" s="245">
        <f>H303</f>
        <v/>
      </c>
      <c r="P303" s="243">
        <f>I303</f>
        <v/>
      </c>
      <c r="Q303" s="246">
        <f>J303</f>
        <v/>
      </c>
      <c r="R303" s="247">
        <f>K303</f>
        <v/>
      </c>
      <c r="S303" s="243" t="n"/>
      <c r="T303" s="249">
        <f>ROUNDUP(IF(Y303=0,0,Y303)*IF(Z303&gt;0,Z303,1)*IF(U303&gt;0,U303,1)*IF(W303&gt;0,W303,1),0)</f>
        <v/>
      </c>
      <c r="U303" s="245">
        <f>M303</f>
        <v/>
      </c>
      <c r="V303" s="243">
        <f>N303</f>
        <v/>
      </c>
      <c r="W303" s="245">
        <f>O303</f>
        <v/>
      </c>
      <c r="X303" s="243">
        <f>P303</f>
        <v/>
      </c>
      <c r="Y303" s="246">
        <f>Q303</f>
        <v/>
      </c>
      <c r="Z303" s="247">
        <f>R303</f>
        <v/>
      </c>
      <c r="AA303" s="243" t="n"/>
      <c r="AB303" s="254" t="n"/>
      <c r="AC303" s="254" t="n"/>
      <c r="AD303" s="254" t="n"/>
      <c r="AE303" s="254" t="n"/>
      <c r="AF303" s="254" t="n"/>
      <c r="AG303" s="255" t="n"/>
      <c r="AH303" s="256" t="n"/>
      <c r="AI303" s="253" t="n"/>
    </row>
    <row r="304" hidden="1" outlineLevel="1" s="592">
      <c r="A304" s="241">
        <f>$A284&amp;"."&amp;20</f>
        <v/>
      </c>
      <c r="B304" s="241" t="n"/>
      <c r="C304" s="255">
        <f>$C$284</f>
        <v/>
      </c>
      <c r="D304" s="243" t="n"/>
      <c r="E304" s="244">
        <f>ROUNDUP(IF(J304=0,0,J304)*IF(K304&gt;0,K304,1)*IF(F304&gt;0,F304,1)*IF(H304&gt;0,H304,1),0)</f>
        <v/>
      </c>
      <c r="F304" s="245" t="n"/>
      <c r="G304" s="243" t="n"/>
      <c r="H304" s="245" t="n"/>
      <c r="I304" s="243" t="n"/>
      <c r="J304" s="246" t="n"/>
      <c r="K304" s="247" t="n"/>
      <c r="L304" s="248">
        <f>ROUNDUP(IF(Q304=0,0,Q304)*IF(R304&gt;0,R304,1)*IF(M304&gt;0,M304,1)*IF(O304&gt;0,O304,1),0)</f>
        <v/>
      </c>
      <c r="M304" s="245">
        <f>F304</f>
        <v/>
      </c>
      <c r="N304" s="243">
        <f>G304</f>
        <v/>
      </c>
      <c r="O304" s="245">
        <f>H304</f>
        <v/>
      </c>
      <c r="P304" s="243">
        <f>I304</f>
        <v/>
      </c>
      <c r="Q304" s="246">
        <f>J304</f>
        <v/>
      </c>
      <c r="R304" s="247">
        <f>K304</f>
        <v/>
      </c>
      <c r="S304" s="243" t="n"/>
      <c r="T304" s="249">
        <f>ROUNDUP(IF(Y304=0,0,Y304)*IF(Z304&gt;0,Z304,1)*IF(U304&gt;0,U304,1)*IF(W304&gt;0,W304,1),0)</f>
        <v/>
      </c>
      <c r="U304" s="245">
        <f>M304</f>
        <v/>
      </c>
      <c r="V304" s="243">
        <f>N304</f>
        <v/>
      </c>
      <c r="W304" s="245">
        <f>O304</f>
        <v/>
      </c>
      <c r="X304" s="243">
        <f>P304</f>
        <v/>
      </c>
      <c r="Y304" s="246">
        <f>Q304</f>
        <v/>
      </c>
      <c r="Z304" s="247">
        <f>R304</f>
        <v/>
      </c>
      <c r="AA304" s="243" t="n"/>
      <c r="AB304" s="254" t="n"/>
      <c r="AC304" s="254" t="n"/>
      <c r="AD304" s="254" t="n"/>
      <c r="AE304" s="254" t="n"/>
      <c r="AF304" s="254" t="n"/>
      <c r="AG304" s="255" t="n"/>
      <c r="AH304" s="256" t="n"/>
      <c r="AI304" s="253" t="n"/>
    </row>
    <row r="305" collapsed="1" s="592">
      <c r="A305" s="257" t="n">
        <v>15</v>
      </c>
      <c r="B305" s="257">
        <f>IFERROR(__xludf.DUMMYFUNCTION("vlookup(C305,IMPORTRANGE(REF!$B$3,""FP!B:C""),2,0)"),"#N/A")</f>
        <v/>
      </c>
      <c r="C305" s="237" t="inlineStr">
        <is>
          <t>ชื่อกิจกรรมที่ 15</t>
        </is>
      </c>
      <c r="D305" s="232" t="n"/>
      <c r="E305" s="233">
        <f>SUM(E306:E325)</f>
        <v/>
      </c>
      <c r="F305" s="234" t="n"/>
      <c r="G305" s="235" t="n"/>
      <c r="H305" s="234" t="n"/>
      <c r="I305" s="235" t="n"/>
      <c r="J305" s="233" t="n"/>
      <c r="K305" s="236" t="n"/>
      <c r="L305" s="233">
        <f>SUM(L306:L325)</f>
        <v/>
      </c>
      <c r="M305" s="234" t="n"/>
      <c r="N305" s="235" t="n"/>
      <c r="O305" s="234" t="n"/>
      <c r="P305" s="235" t="n"/>
      <c r="Q305" s="233" t="n"/>
      <c r="R305" s="236" t="n"/>
      <c r="S305" s="235" t="n"/>
      <c r="T305" s="233">
        <f>SUM(T306:T325)</f>
        <v/>
      </c>
      <c r="U305" s="234" t="n"/>
      <c r="V305" s="235" t="n"/>
      <c r="W305" s="234" t="n"/>
      <c r="X305" s="235" t="n"/>
      <c r="Y305" s="233" t="n"/>
      <c r="Z305" s="236" t="n"/>
      <c r="AA305" s="235" t="n"/>
      <c r="AB305" s="237" t="n"/>
      <c r="AC305" s="237" t="n"/>
      <c r="AD305" s="237" t="n"/>
      <c r="AE305" s="237" t="n"/>
      <c r="AF305" s="237" t="n"/>
      <c r="AG305" s="238" t="b">
        <v>0</v>
      </c>
      <c r="AH305" s="239" t="n"/>
      <c r="AI305" s="253" t="n"/>
    </row>
    <row r="306" hidden="1" outlineLevel="1" s="592">
      <c r="A306" s="241">
        <f>$A305&amp;"."&amp;1</f>
        <v/>
      </c>
      <c r="B306" s="241" t="n"/>
      <c r="C306" s="255">
        <f>$C$305</f>
        <v/>
      </c>
      <c r="D306" s="243" t="n"/>
      <c r="E306" s="244">
        <f>ROUNDUP(IF(J306=0,0,J306)*IF(K306&gt;0,K306,1)*IF(F306&gt;0,F306,1)*IF(H306&gt;0,H306,1),0)</f>
        <v/>
      </c>
      <c r="F306" s="245" t="n"/>
      <c r="G306" s="243" t="n"/>
      <c r="H306" s="245" t="n"/>
      <c r="I306" s="243" t="n"/>
      <c r="J306" s="246" t="n"/>
      <c r="K306" s="247" t="n"/>
      <c r="L306" s="248">
        <f>ROUNDUP(IF(Q306=0,0,Q306)*IF(R306&gt;0,R306,1)*IF(M306&gt;0,M306,1)*IF(O306&gt;0,O306,1),0)</f>
        <v/>
      </c>
      <c r="M306" s="245">
        <f>F306</f>
        <v/>
      </c>
      <c r="N306" s="243">
        <f>G306</f>
        <v/>
      </c>
      <c r="O306" s="245">
        <f>H306</f>
        <v/>
      </c>
      <c r="P306" s="243">
        <f>I306</f>
        <v/>
      </c>
      <c r="Q306" s="246">
        <f>J306</f>
        <v/>
      </c>
      <c r="R306" s="247">
        <f>K306</f>
        <v/>
      </c>
      <c r="S306" s="243" t="n"/>
      <c r="T306" s="249">
        <f>ROUNDUP(IF(Y306=0,0,Y306)*IF(Z306&gt;0,Z306,1)*IF(U306&gt;0,U306,1)*IF(W306&gt;0,W306,1),0)</f>
        <v/>
      </c>
      <c r="U306" s="245">
        <f>M306</f>
        <v/>
      </c>
      <c r="V306" s="243">
        <f>N306</f>
        <v/>
      </c>
      <c r="W306" s="245">
        <f>O306</f>
        <v/>
      </c>
      <c r="X306" s="243">
        <f>P306</f>
        <v/>
      </c>
      <c r="Y306" s="246">
        <f>Q306</f>
        <v/>
      </c>
      <c r="Z306" s="247">
        <f>R306</f>
        <v/>
      </c>
      <c r="AA306" s="243" t="n"/>
      <c r="AB306" s="254" t="n"/>
      <c r="AC306" s="254" t="n"/>
      <c r="AD306" s="254" t="n"/>
      <c r="AE306" s="254" t="n"/>
      <c r="AF306" s="254" t="n"/>
      <c r="AG306" s="255" t="n"/>
      <c r="AH306" s="256" t="n"/>
      <c r="AI306" s="253" t="n"/>
    </row>
    <row r="307" hidden="1" outlineLevel="1" s="592">
      <c r="A307" s="241">
        <f>$A305&amp;"."&amp;2</f>
        <v/>
      </c>
      <c r="B307" s="241" t="n"/>
      <c r="C307" s="255">
        <f>$C$305</f>
        <v/>
      </c>
      <c r="D307" s="243" t="n"/>
      <c r="E307" s="244">
        <f>ROUNDUP(IF(J307=0,0,J307)*IF(K307&gt;0,K307,1)*IF(F307&gt;0,F307,1)*IF(H307&gt;0,H307,1),0)</f>
        <v/>
      </c>
      <c r="F307" s="245" t="n"/>
      <c r="G307" s="243" t="n"/>
      <c r="H307" s="245" t="n"/>
      <c r="I307" s="243" t="n"/>
      <c r="J307" s="246" t="n"/>
      <c r="K307" s="247" t="n"/>
      <c r="L307" s="248">
        <f>ROUNDUP(IF(Q307=0,0,Q307)*IF(R307&gt;0,R307,1)*IF(M307&gt;0,M307,1)*IF(O307&gt;0,O307,1),0)</f>
        <v/>
      </c>
      <c r="M307" s="245">
        <f>F307</f>
        <v/>
      </c>
      <c r="N307" s="243">
        <f>G307</f>
        <v/>
      </c>
      <c r="O307" s="245">
        <f>H307</f>
        <v/>
      </c>
      <c r="P307" s="243">
        <f>I307</f>
        <v/>
      </c>
      <c r="Q307" s="246">
        <f>J307</f>
        <v/>
      </c>
      <c r="R307" s="247">
        <f>K307</f>
        <v/>
      </c>
      <c r="S307" s="243" t="n"/>
      <c r="T307" s="249">
        <f>ROUNDUP(IF(Y307=0,0,Y307)*IF(Z307&gt;0,Z307,1)*IF(U307&gt;0,U307,1)*IF(W307&gt;0,W307,1),0)</f>
        <v/>
      </c>
      <c r="U307" s="245">
        <f>M307</f>
        <v/>
      </c>
      <c r="V307" s="243">
        <f>N307</f>
        <v/>
      </c>
      <c r="W307" s="245">
        <f>O307</f>
        <v/>
      </c>
      <c r="X307" s="243">
        <f>P307</f>
        <v/>
      </c>
      <c r="Y307" s="246">
        <f>Q307</f>
        <v/>
      </c>
      <c r="Z307" s="247">
        <f>R307</f>
        <v/>
      </c>
      <c r="AA307" s="243" t="n"/>
      <c r="AB307" s="254" t="n"/>
      <c r="AC307" s="254" t="n"/>
      <c r="AD307" s="254" t="n"/>
      <c r="AE307" s="254" t="n"/>
      <c r="AF307" s="254" t="n"/>
      <c r="AG307" s="255" t="n"/>
      <c r="AH307" s="256" t="n"/>
      <c r="AI307" s="253" t="n"/>
    </row>
    <row r="308" hidden="1" outlineLevel="1" s="592">
      <c r="A308" s="241">
        <f>$A305&amp;"."&amp;3</f>
        <v/>
      </c>
      <c r="B308" s="241" t="n"/>
      <c r="C308" s="255">
        <f>$C$305</f>
        <v/>
      </c>
      <c r="D308" s="243" t="n"/>
      <c r="E308" s="244">
        <f>ROUNDUP(IF(J308=0,0,J308)*IF(K308&gt;0,K308,1)*IF(F308&gt;0,F308,1)*IF(H308&gt;0,H308,1),0)</f>
        <v/>
      </c>
      <c r="F308" s="245" t="n"/>
      <c r="G308" s="243" t="n"/>
      <c r="H308" s="245" t="n"/>
      <c r="I308" s="243" t="n"/>
      <c r="J308" s="246" t="n"/>
      <c r="K308" s="247" t="n"/>
      <c r="L308" s="248">
        <f>ROUNDUP(IF(Q308=0,0,Q308)*IF(R308&gt;0,R308,1)*IF(M308&gt;0,M308,1)*IF(O308&gt;0,O308,1),0)</f>
        <v/>
      </c>
      <c r="M308" s="245">
        <f>F308</f>
        <v/>
      </c>
      <c r="N308" s="243">
        <f>G308</f>
        <v/>
      </c>
      <c r="O308" s="245">
        <f>H308</f>
        <v/>
      </c>
      <c r="P308" s="243">
        <f>I308</f>
        <v/>
      </c>
      <c r="Q308" s="246">
        <f>J308</f>
        <v/>
      </c>
      <c r="R308" s="247">
        <f>K308</f>
        <v/>
      </c>
      <c r="S308" s="243" t="n"/>
      <c r="T308" s="249">
        <f>ROUNDUP(IF(Y308=0,0,Y308)*IF(Z308&gt;0,Z308,1)*IF(U308&gt;0,U308,1)*IF(W308&gt;0,W308,1),0)</f>
        <v/>
      </c>
      <c r="U308" s="245">
        <f>M308</f>
        <v/>
      </c>
      <c r="V308" s="243">
        <f>N308</f>
        <v/>
      </c>
      <c r="W308" s="245">
        <f>O308</f>
        <v/>
      </c>
      <c r="X308" s="243">
        <f>P308</f>
        <v/>
      </c>
      <c r="Y308" s="246">
        <f>Q308</f>
        <v/>
      </c>
      <c r="Z308" s="247">
        <f>R308</f>
        <v/>
      </c>
      <c r="AA308" s="243" t="n"/>
      <c r="AB308" s="254" t="n"/>
      <c r="AC308" s="254" t="n"/>
      <c r="AD308" s="254" t="n"/>
      <c r="AE308" s="254" t="n"/>
      <c r="AF308" s="254" t="n"/>
      <c r="AG308" s="255" t="n"/>
      <c r="AH308" s="256" t="n"/>
      <c r="AI308" s="253" t="n"/>
    </row>
    <row r="309" hidden="1" outlineLevel="1" s="592">
      <c r="A309" s="241">
        <f>$A305&amp;"."&amp;4</f>
        <v/>
      </c>
      <c r="B309" s="241" t="n"/>
      <c r="C309" s="255">
        <f>$C$305</f>
        <v/>
      </c>
      <c r="D309" s="243" t="n"/>
      <c r="E309" s="244">
        <f>ROUNDUP(IF(J309=0,0,J309)*IF(K309&gt;0,K309,1)*IF(F309&gt;0,F309,1)*IF(H309&gt;0,H309,1),0)</f>
        <v/>
      </c>
      <c r="F309" s="245" t="n"/>
      <c r="G309" s="243" t="n"/>
      <c r="H309" s="245" t="n"/>
      <c r="I309" s="243" t="n"/>
      <c r="J309" s="246" t="n"/>
      <c r="K309" s="247" t="n"/>
      <c r="L309" s="248">
        <f>ROUNDUP(IF(Q309=0,0,Q309)*IF(R309&gt;0,R309,1)*IF(M309&gt;0,M309,1)*IF(O309&gt;0,O309,1),0)</f>
        <v/>
      </c>
      <c r="M309" s="245">
        <f>F309</f>
        <v/>
      </c>
      <c r="N309" s="243">
        <f>G309</f>
        <v/>
      </c>
      <c r="O309" s="245">
        <f>H309</f>
        <v/>
      </c>
      <c r="P309" s="243">
        <f>I309</f>
        <v/>
      </c>
      <c r="Q309" s="246">
        <f>J309</f>
        <v/>
      </c>
      <c r="R309" s="247">
        <f>K309</f>
        <v/>
      </c>
      <c r="S309" s="243" t="n"/>
      <c r="T309" s="249">
        <f>ROUNDUP(IF(Y309=0,0,Y309)*IF(Z309&gt;0,Z309,1)*IF(U309&gt;0,U309,1)*IF(W309&gt;0,W309,1),0)</f>
        <v/>
      </c>
      <c r="U309" s="245">
        <f>M309</f>
        <v/>
      </c>
      <c r="V309" s="243">
        <f>N309</f>
        <v/>
      </c>
      <c r="W309" s="245">
        <f>O309</f>
        <v/>
      </c>
      <c r="X309" s="243">
        <f>P309</f>
        <v/>
      </c>
      <c r="Y309" s="246">
        <f>Q309</f>
        <v/>
      </c>
      <c r="Z309" s="247">
        <f>R309</f>
        <v/>
      </c>
      <c r="AA309" s="243" t="n"/>
      <c r="AB309" s="254" t="n"/>
      <c r="AC309" s="254" t="n"/>
      <c r="AD309" s="254" t="n"/>
      <c r="AE309" s="254" t="n"/>
      <c r="AF309" s="254" t="n"/>
      <c r="AG309" s="255" t="n"/>
      <c r="AH309" s="256" t="n"/>
      <c r="AI309" s="253" t="n"/>
    </row>
    <row r="310" hidden="1" outlineLevel="1" s="592">
      <c r="A310" s="241">
        <f>$A305&amp;"."&amp;5</f>
        <v/>
      </c>
      <c r="B310" s="241" t="n"/>
      <c r="C310" s="255">
        <f>$C$305</f>
        <v/>
      </c>
      <c r="D310" s="243" t="n"/>
      <c r="E310" s="244">
        <f>ROUNDUP(IF(J310=0,0,J310)*IF(K310&gt;0,K310,1)*IF(F310&gt;0,F310,1)*IF(H310&gt;0,H310,1),0)</f>
        <v/>
      </c>
      <c r="F310" s="245" t="n"/>
      <c r="G310" s="243" t="n"/>
      <c r="H310" s="245" t="n"/>
      <c r="I310" s="243" t="n"/>
      <c r="J310" s="246" t="n"/>
      <c r="K310" s="247" t="n"/>
      <c r="L310" s="248">
        <f>ROUNDUP(IF(Q310=0,0,Q310)*IF(R310&gt;0,R310,1)*IF(M310&gt;0,M310,1)*IF(O310&gt;0,O310,1),0)</f>
        <v/>
      </c>
      <c r="M310" s="245">
        <f>F310</f>
        <v/>
      </c>
      <c r="N310" s="243">
        <f>G310</f>
        <v/>
      </c>
      <c r="O310" s="245">
        <f>H310</f>
        <v/>
      </c>
      <c r="P310" s="243">
        <f>I310</f>
        <v/>
      </c>
      <c r="Q310" s="246">
        <f>J310</f>
        <v/>
      </c>
      <c r="R310" s="247">
        <f>K310</f>
        <v/>
      </c>
      <c r="S310" s="243" t="n"/>
      <c r="T310" s="249">
        <f>ROUNDUP(IF(Y310=0,0,Y310)*IF(Z310&gt;0,Z310,1)*IF(U310&gt;0,U310,1)*IF(W310&gt;0,W310,1),0)</f>
        <v/>
      </c>
      <c r="U310" s="245">
        <f>M310</f>
        <v/>
      </c>
      <c r="V310" s="243">
        <f>N310</f>
        <v/>
      </c>
      <c r="W310" s="245">
        <f>O310</f>
        <v/>
      </c>
      <c r="X310" s="243">
        <f>P310</f>
        <v/>
      </c>
      <c r="Y310" s="246">
        <f>Q310</f>
        <v/>
      </c>
      <c r="Z310" s="247">
        <f>R310</f>
        <v/>
      </c>
      <c r="AA310" s="243" t="n"/>
      <c r="AB310" s="254" t="n"/>
      <c r="AC310" s="254" t="n"/>
      <c r="AD310" s="254" t="n"/>
      <c r="AE310" s="254" t="n"/>
      <c r="AF310" s="254" t="n"/>
      <c r="AG310" s="255" t="n"/>
      <c r="AH310" s="256" t="n"/>
      <c r="AI310" s="253" t="n"/>
    </row>
    <row r="311" hidden="1" outlineLevel="1" s="592">
      <c r="A311" s="241">
        <f>$A305&amp;"."&amp;6</f>
        <v/>
      </c>
      <c r="B311" s="241" t="n"/>
      <c r="C311" s="255">
        <f>$C$305</f>
        <v/>
      </c>
      <c r="D311" s="243" t="n"/>
      <c r="E311" s="244">
        <f>ROUNDUP(IF(J311=0,0,J311)*IF(K311&gt;0,K311,1)*IF(F311&gt;0,F311,1)*IF(H311&gt;0,H311,1),0)</f>
        <v/>
      </c>
      <c r="F311" s="245" t="n"/>
      <c r="G311" s="243" t="n"/>
      <c r="H311" s="245" t="n"/>
      <c r="I311" s="243" t="n"/>
      <c r="J311" s="246" t="n"/>
      <c r="K311" s="247" t="n"/>
      <c r="L311" s="248">
        <f>ROUNDUP(IF(Q311=0,0,Q311)*IF(R311&gt;0,R311,1)*IF(M311&gt;0,M311,1)*IF(O311&gt;0,O311,1),0)</f>
        <v/>
      </c>
      <c r="M311" s="245">
        <f>F311</f>
        <v/>
      </c>
      <c r="N311" s="243">
        <f>G311</f>
        <v/>
      </c>
      <c r="O311" s="245">
        <f>H311</f>
        <v/>
      </c>
      <c r="P311" s="243">
        <f>I311</f>
        <v/>
      </c>
      <c r="Q311" s="246">
        <f>J311</f>
        <v/>
      </c>
      <c r="R311" s="247">
        <f>K311</f>
        <v/>
      </c>
      <c r="S311" s="243" t="n"/>
      <c r="T311" s="249">
        <f>ROUNDUP(IF(Y311=0,0,Y311)*IF(Z311&gt;0,Z311,1)*IF(U311&gt;0,U311,1)*IF(W311&gt;0,W311,1),0)</f>
        <v/>
      </c>
      <c r="U311" s="245">
        <f>M311</f>
        <v/>
      </c>
      <c r="V311" s="243">
        <f>N311</f>
        <v/>
      </c>
      <c r="W311" s="245">
        <f>O311</f>
        <v/>
      </c>
      <c r="X311" s="243">
        <f>P311</f>
        <v/>
      </c>
      <c r="Y311" s="246">
        <f>Q311</f>
        <v/>
      </c>
      <c r="Z311" s="247">
        <f>R311</f>
        <v/>
      </c>
      <c r="AA311" s="243" t="n"/>
      <c r="AB311" s="254" t="n"/>
      <c r="AC311" s="254" t="n"/>
      <c r="AD311" s="254" t="n"/>
      <c r="AE311" s="254" t="n"/>
      <c r="AF311" s="254" t="n"/>
      <c r="AG311" s="255" t="n"/>
      <c r="AH311" s="256" t="n"/>
      <c r="AI311" s="253" t="n"/>
    </row>
    <row r="312" hidden="1" outlineLevel="1" s="592">
      <c r="A312" s="241">
        <f>$A305&amp;"."&amp;7</f>
        <v/>
      </c>
      <c r="B312" s="241" t="n"/>
      <c r="C312" s="255">
        <f>$C$305</f>
        <v/>
      </c>
      <c r="D312" s="243" t="n"/>
      <c r="E312" s="244">
        <f>ROUNDUP(IF(J312=0,0,J312)*IF(K312&gt;0,K312,1)*IF(F312&gt;0,F312,1)*IF(H312&gt;0,H312,1),0)</f>
        <v/>
      </c>
      <c r="F312" s="245" t="n"/>
      <c r="G312" s="243" t="n"/>
      <c r="H312" s="245" t="n"/>
      <c r="I312" s="243" t="n"/>
      <c r="J312" s="246" t="n"/>
      <c r="K312" s="247" t="n"/>
      <c r="L312" s="248">
        <f>ROUNDUP(IF(Q312=0,0,Q312)*IF(R312&gt;0,R312,1)*IF(M312&gt;0,M312,1)*IF(O312&gt;0,O312,1),0)</f>
        <v/>
      </c>
      <c r="M312" s="245">
        <f>F312</f>
        <v/>
      </c>
      <c r="N312" s="243">
        <f>G312</f>
        <v/>
      </c>
      <c r="O312" s="245">
        <f>H312</f>
        <v/>
      </c>
      <c r="P312" s="243">
        <f>I312</f>
        <v/>
      </c>
      <c r="Q312" s="246">
        <f>J312</f>
        <v/>
      </c>
      <c r="R312" s="247">
        <f>K312</f>
        <v/>
      </c>
      <c r="S312" s="243" t="n"/>
      <c r="T312" s="249">
        <f>ROUNDUP(IF(Y312=0,0,Y312)*IF(Z312&gt;0,Z312,1)*IF(U312&gt;0,U312,1)*IF(W312&gt;0,W312,1),0)</f>
        <v/>
      </c>
      <c r="U312" s="245">
        <f>M312</f>
        <v/>
      </c>
      <c r="V312" s="243">
        <f>N312</f>
        <v/>
      </c>
      <c r="W312" s="245">
        <f>O312</f>
        <v/>
      </c>
      <c r="X312" s="243">
        <f>P312</f>
        <v/>
      </c>
      <c r="Y312" s="246">
        <f>Q312</f>
        <v/>
      </c>
      <c r="Z312" s="247">
        <f>R312</f>
        <v/>
      </c>
      <c r="AA312" s="243" t="n"/>
      <c r="AB312" s="254" t="n"/>
      <c r="AC312" s="254" t="n"/>
      <c r="AD312" s="254" t="n"/>
      <c r="AE312" s="254" t="n"/>
      <c r="AF312" s="254" t="n"/>
      <c r="AG312" s="255" t="n"/>
      <c r="AH312" s="256" t="n"/>
      <c r="AI312" s="253" t="n"/>
    </row>
    <row r="313" hidden="1" outlineLevel="1" s="592">
      <c r="A313" s="241">
        <f>$A305&amp;"."&amp;8</f>
        <v/>
      </c>
      <c r="B313" s="241" t="n"/>
      <c r="C313" s="255">
        <f>$C$305</f>
        <v/>
      </c>
      <c r="D313" s="243" t="n"/>
      <c r="E313" s="244">
        <f>ROUNDUP(IF(J313=0,0,J313)*IF(K313&gt;0,K313,1)*IF(F313&gt;0,F313,1)*IF(H313&gt;0,H313,1),0)</f>
        <v/>
      </c>
      <c r="F313" s="245" t="n"/>
      <c r="G313" s="243" t="n"/>
      <c r="H313" s="245" t="n"/>
      <c r="I313" s="243" t="n"/>
      <c r="J313" s="246" t="n"/>
      <c r="K313" s="247" t="n"/>
      <c r="L313" s="248">
        <f>ROUNDUP(IF(Q313=0,0,Q313)*IF(R313&gt;0,R313,1)*IF(M313&gt;0,M313,1)*IF(O313&gt;0,O313,1),0)</f>
        <v/>
      </c>
      <c r="M313" s="245">
        <f>F313</f>
        <v/>
      </c>
      <c r="N313" s="243">
        <f>G313</f>
        <v/>
      </c>
      <c r="O313" s="245">
        <f>H313</f>
        <v/>
      </c>
      <c r="P313" s="243">
        <f>I313</f>
        <v/>
      </c>
      <c r="Q313" s="246">
        <f>J313</f>
        <v/>
      </c>
      <c r="R313" s="247">
        <f>K313</f>
        <v/>
      </c>
      <c r="S313" s="243" t="n"/>
      <c r="T313" s="249">
        <f>ROUNDUP(IF(Y313=0,0,Y313)*IF(Z313&gt;0,Z313,1)*IF(U313&gt;0,U313,1)*IF(W313&gt;0,W313,1),0)</f>
        <v/>
      </c>
      <c r="U313" s="245">
        <f>M313</f>
        <v/>
      </c>
      <c r="V313" s="243">
        <f>N313</f>
        <v/>
      </c>
      <c r="W313" s="245">
        <f>O313</f>
        <v/>
      </c>
      <c r="X313" s="243">
        <f>P313</f>
        <v/>
      </c>
      <c r="Y313" s="246">
        <f>Q313</f>
        <v/>
      </c>
      <c r="Z313" s="247">
        <f>R313</f>
        <v/>
      </c>
      <c r="AA313" s="243" t="n"/>
      <c r="AB313" s="254" t="n"/>
      <c r="AC313" s="254" t="n"/>
      <c r="AD313" s="254" t="n"/>
      <c r="AE313" s="254" t="n"/>
      <c r="AF313" s="254" t="n"/>
      <c r="AG313" s="255" t="n"/>
      <c r="AH313" s="256" t="n"/>
      <c r="AI313" s="253" t="n"/>
    </row>
    <row r="314" hidden="1" outlineLevel="1" s="592">
      <c r="A314" s="241">
        <f>$A305&amp;"."&amp;9</f>
        <v/>
      </c>
      <c r="B314" s="241" t="n"/>
      <c r="C314" s="255">
        <f>$C$305</f>
        <v/>
      </c>
      <c r="D314" s="243" t="n"/>
      <c r="E314" s="244">
        <f>ROUNDUP(IF(J314=0,0,J314)*IF(K314&gt;0,K314,1)*IF(F314&gt;0,F314,1)*IF(H314&gt;0,H314,1),0)</f>
        <v/>
      </c>
      <c r="F314" s="245" t="n"/>
      <c r="G314" s="243" t="n"/>
      <c r="H314" s="245" t="n"/>
      <c r="I314" s="243" t="n"/>
      <c r="J314" s="246" t="n"/>
      <c r="K314" s="247" t="n"/>
      <c r="L314" s="248">
        <f>ROUNDUP(IF(Q314=0,0,Q314)*IF(R314&gt;0,R314,1)*IF(M314&gt;0,M314,1)*IF(O314&gt;0,O314,1),0)</f>
        <v/>
      </c>
      <c r="M314" s="245">
        <f>F314</f>
        <v/>
      </c>
      <c r="N314" s="243">
        <f>G314</f>
        <v/>
      </c>
      <c r="O314" s="245">
        <f>H314</f>
        <v/>
      </c>
      <c r="P314" s="243">
        <f>I314</f>
        <v/>
      </c>
      <c r="Q314" s="246">
        <f>J314</f>
        <v/>
      </c>
      <c r="R314" s="247">
        <f>K314</f>
        <v/>
      </c>
      <c r="S314" s="243" t="n"/>
      <c r="T314" s="249">
        <f>ROUNDUP(IF(Y314=0,0,Y314)*IF(Z314&gt;0,Z314,1)*IF(U314&gt;0,U314,1)*IF(W314&gt;0,W314,1),0)</f>
        <v/>
      </c>
      <c r="U314" s="245">
        <f>M314</f>
        <v/>
      </c>
      <c r="V314" s="243">
        <f>N314</f>
        <v/>
      </c>
      <c r="W314" s="245">
        <f>O314</f>
        <v/>
      </c>
      <c r="X314" s="243">
        <f>P314</f>
        <v/>
      </c>
      <c r="Y314" s="246">
        <f>Q314</f>
        <v/>
      </c>
      <c r="Z314" s="247">
        <f>R314</f>
        <v/>
      </c>
      <c r="AA314" s="243" t="n"/>
      <c r="AB314" s="254" t="n"/>
      <c r="AC314" s="254" t="n"/>
      <c r="AD314" s="254" t="n"/>
      <c r="AE314" s="254" t="n"/>
      <c r="AF314" s="254" t="n"/>
      <c r="AG314" s="255" t="n"/>
      <c r="AH314" s="256" t="n"/>
      <c r="AI314" s="253" t="n"/>
    </row>
    <row r="315" hidden="1" outlineLevel="1" s="592">
      <c r="A315" s="241">
        <f>$A305&amp;"."&amp;10</f>
        <v/>
      </c>
      <c r="B315" s="241" t="n"/>
      <c r="C315" s="255">
        <f>$C$305</f>
        <v/>
      </c>
      <c r="D315" s="243" t="n"/>
      <c r="E315" s="244">
        <f>ROUNDUP(IF(J315=0,0,J315)*IF(K315&gt;0,K315,1)*IF(F315&gt;0,F315,1)*IF(H315&gt;0,H315,1),0)</f>
        <v/>
      </c>
      <c r="F315" s="245" t="n"/>
      <c r="G315" s="243" t="n"/>
      <c r="H315" s="245" t="n"/>
      <c r="I315" s="243" t="n"/>
      <c r="J315" s="246" t="n"/>
      <c r="K315" s="247" t="n"/>
      <c r="L315" s="248">
        <f>ROUNDUP(IF(Q315=0,0,Q315)*IF(R315&gt;0,R315,1)*IF(M315&gt;0,M315,1)*IF(O315&gt;0,O315,1),0)</f>
        <v/>
      </c>
      <c r="M315" s="245">
        <f>F315</f>
        <v/>
      </c>
      <c r="N315" s="243">
        <f>G315</f>
        <v/>
      </c>
      <c r="O315" s="245">
        <f>H315</f>
        <v/>
      </c>
      <c r="P315" s="243">
        <f>I315</f>
        <v/>
      </c>
      <c r="Q315" s="246">
        <f>J315</f>
        <v/>
      </c>
      <c r="R315" s="247">
        <f>K315</f>
        <v/>
      </c>
      <c r="S315" s="243" t="n"/>
      <c r="T315" s="249">
        <f>ROUNDUP(IF(Y315=0,0,Y315)*IF(Z315&gt;0,Z315,1)*IF(U315&gt;0,U315,1)*IF(W315&gt;0,W315,1),0)</f>
        <v/>
      </c>
      <c r="U315" s="245">
        <f>M315</f>
        <v/>
      </c>
      <c r="V315" s="243">
        <f>N315</f>
        <v/>
      </c>
      <c r="W315" s="245">
        <f>O315</f>
        <v/>
      </c>
      <c r="X315" s="243">
        <f>P315</f>
        <v/>
      </c>
      <c r="Y315" s="246">
        <f>Q315</f>
        <v/>
      </c>
      <c r="Z315" s="247">
        <f>R315</f>
        <v/>
      </c>
      <c r="AA315" s="243" t="n"/>
      <c r="AB315" s="254" t="n"/>
      <c r="AC315" s="254" t="n"/>
      <c r="AD315" s="254" t="n"/>
      <c r="AE315" s="254" t="n"/>
      <c r="AF315" s="254" t="n"/>
      <c r="AG315" s="255" t="n"/>
      <c r="AH315" s="256" t="n"/>
      <c r="AI315" s="253" t="n"/>
    </row>
    <row r="316" hidden="1" outlineLevel="1" s="592">
      <c r="A316" s="241">
        <f>$A305&amp;"."&amp;11</f>
        <v/>
      </c>
      <c r="B316" s="241" t="n"/>
      <c r="C316" s="255">
        <f>$C$305</f>
        <v/>
      </c>
      <c r="D316" s="243" t="n"/>
      <c r="E316" s="244">
        <f>ROUNDUP(IF(J316=0,0,J316)*IF(K316&gt;0,K316,1)*IF(F316&gt;0,F316,1)*IF(H316&gt;0,H316,1),0)</f>
        <v/>
      </c>
      <c r="F316" s="245" t="n"/>
      <c r="G316" s="243" t="n"/>
      <c r="H316" s="245" t="n"/>
      <c r="I316" s="243" t="n"/>
      <c r="J316" s="246" t="n"/>
      <c r="K316" s="247" t="n"/>
      <c r="L316" s="248">
        <f>ROUNDUP(IF(Q316=0,0,Q316)*IF(R316&gt;0,R316,1)*IF(M316&gt;0,M316,1)*IF(O316&gt;0,O316,1),0)</f>
        <v/>
      </c>
      <c r="M316" s="245">
        <f>F316</f>
        <v/>
      </c>
      <c r="N316" s="243">
        <f>G316</f>
        <v/>
      </c>
      <c r="O316" s="245">
        <f>H316</f>
        <v/>
      </c>
      <c r="P316" s="243">
        <f>I316</f>
        <v/>
      </c>
      <c r="Q316" s="246">
        <f>J316</f>
        <v/>
      </c>
      <c r="R316" s="247">
        <f>K316</f>
        <v/>
      </c>
      <c r="S316" s="243" t="n"/>
      <c r="T316" s="249">
        <f>ROUNDUP(IF(Y316=0,0,Y316)*IF(Z316&gt;0,Z316,1)*IF(U316&gt;0,U316,1)*IF(W316&gt;0,W316,1),0)</f>
        <v/>
      </c>
      <c r="U316" s="245">
        <f>M316</f>
        <v/>
      </c>
      <c r="V316" s="243">
        <f>N316</f>
        <v/>
      </c>
      <c r="W316" s="245">
        <f>O316</f>
        <v/>
      </c>
      <c r="X316" s="243">
        <f>P316</f>
        <v/>
      </c>
      <c r="Y316" s="246">
        <f>Q316</f>
        <v/>
      </c>
      <c r="Z316" s="247">
        <f>R316</f>
        <v/>
      </c>
      <c r="AA316" s="243" t="n"/>
      <c r="AB316" s="254" t="n"/>
      <c r="AC316" s="254" t="n"/>
      <c r="AD316" s="254" t="n"/>
      <c r="AE316" s="254" t="n"/>
      <c r="AF316" s="254" t="n"/>
      <c r="AG316" s="255" t="n"/>
      <c r="AH316" s="256" t="n"/>
      <c r="AI316" s="253" t="n"/>
    </row>
    <row r="317" hidden="1" outlineLevel="1" s="592">
      <c r="A317" s="241">
        <f>$A305&amp;"."&amp;12</f>
        <v/>
      </c>
      <c r="B317" s="241" t="n"/>
      <c r="C317" s="255">
        <f>$C$305</f>
        <v/>
      </c>
      <c r="D317" s="243" t="n"/>
      <c r="E317" s="244">
        <f>ROUNDUP(IF(J317=0,0,J317)*IF(K317&gt;0,K317,1)*IF(F317&gt;0,F317,1)*IF(H317&gt;0,H317,1),0)</f>
        <v/>
      </c>
      <c r="F317" s="245" t="n"/>
      <c r="G317" s="243" t="n"/>
      <c r="H317" s="245" t="n"/>
      <c r="I317" s="243" t="n"/>
      <c r="J317" s="246" t="n"/>
      <c r="K317" s="247" t="n"/>
      <c r="L317" s="248">
        <f>ROUNDUP(IF(Q317=0,0,Q317)*IF(R317&gt;0,R317,1)*IF(M317&gt;0,M317,1)*IF(O317&gt;0,O317,1),0)</f>
        <v/>
      </c>
      <c r="M317" s="245">
        <f>F317</f>
        <v/>
      </c>
      <c r="N317" s="243">
        <f>G317</f>
        <v/>
      </c>
      <c r="O317" s="245">
        <f>H317</f>
        <v/>
      </c>
      <c r="P317" s="243">
        <f>I317</f>
        <v/>
      </c>
      <c r="Q317" s="246">
        <f>J317</f>
        <v/>
      </c>
      <c r="R317" s="247">
        <f>K317</f>
        <v/>
      </c>
      <c r="S317" s="243" t="n"/>
      <c r="T317" s="249">
        <f>ROUNDUP(IF(Y317=0,0,Y317)*IF(Z317&gt;0,Z317,1)*IF(U317&gt;0,U317,1)*IF(W317&gt;0,W317,1),0)</f>
        <v/>
      </c>
      <c r="U317" s="245">
        <f>M317</f>
        <v/>
      </c>
      <c r="V317" s="243">
        <f>N317</f>
        <v/>
      </c>
      <c r="W317" s="245">
        <f>O317</f>
        <v/>
      </c>
      <c r="X317" s="243">
        <f>P317</f>
        <v/>
      </c>
      <c r="Y317" s="246">
        <f>Q317</f>
        <v/>
      </c>
      <c r="Z317" s="247">
        <f>R317</f>
        <v/>
      </c>
      <c r="AA317" s="243" t="n"/>
      <c r="AB317" s="254" t="n"/>
      <c r="AC317" s="254" t="n"/>
      <c r="AD317" s="254" t="n"/>
      <c r="AE317" s="254" t="n"/>
      <c r="AF317" s="254" t="n"/>
      <c r="AG317" s="255" t="n"/>
      <c r="AH317" s="256" t="n"/>
      <c r="AI317" s="253" t="n"/>
    </row>
    <row r="318" hidden="1" outlineLevel="1" s="592">
      <c r="A318" s="241">
        <f>$A305&amp;"."&amp;13</f>
        <v/>
      </c>
      <c r="B318" s="241" t="n"/>
      <c r="C318" s="255">
        <f>$C$305</f>
        <v/>
      </c>
      <c r="D318" s="243" t="n"/>
      <c r="E318" s="244">
        <f>ROUNDUP(IF(J318=0,0,J318)*IF(K318&gt;0,K318,1)*IF(F318&gt;0,F318,1)*IF(H318&gt;0,H318,1),0)</f>
        <v/>
      </c>
      <c r="F318" s="245" t="n"/>
      <c r="G318" s="243" t="n"/>
      <c r="H318" s="245" t="n"/>
      <c r="I318" s="243" t="n"/>
      <c r="J318" s="246" t="n"/>
      <c r="K318" s="247" t="n"/>
      <c r="L318" s="248">
        <f>ROUNDUP(IF(Q318=0,0,Q318)*IF(R318&gt;0,R318,1)*IF(M318&gt;0,M318,1)*IF(O318&gt;0,O318,1),0)</f>
        <v/>
      </c>
      <c r="M318" s="245">
        <f>F318</f>
        <v/>
      </c>
      <c r="N318" s="243">
        <f>G318</f>
        <v/>
      </c>
      <c r="O318" s="245">
        <f>H318</f>
        <v/>
      </c>
      <c r="P318" s="243">
        <f>I318</f>
        <v/>
      </c>
      <c r="Q318" s="246">
        <f>J318</f>
        <v/>
      </c>
      <c r="R318" s="247">
        <f>K318</f>
        <v/>
      </c>
      <c r="S318" s="243" t="n"/>
      <c r="T318" s="249">
        <f>ROUNDUP(IF(Y318=0,0,Y318)*IF(Z318&gt;0,Z318,1)*IF(U318&gt;0,U318,1)*IF(W318&gt;0,W318,1),0)</f>
        <v/>
      </c>
      <c r="U318" s="245">
        <f>M318</f>
        <v/>
      </c>
      <c r="V318" s="243">
        <f>N318</f>
        <v/>
      </c>
      <c r="W318" s="245">
        <f>O318</f>
        <v/>
      </c>
      <c r="X318" s="243">
        <f>P318</f>
        <v/>
      </c>
      <c r="Y318" s="246">
        <f>Q318</f>
        <v/>
      </c>
      <c r="Z318" s="247">
        <f>R318</f>
        <v/>
      </c>
      <c r="AA318" s="243" t="n"/>
      <c r="AB318" s="254" t="n"/>
      <c r="AC318" s="254" t="n"/>
      <c r="AD318" s="254" t="n"/>
      <c r="AE318" s="254" t="n"/>
      <c r="AF318" s="254" t="n"/>
      <c r="AG318" s="255" t="n"/>
      <c r="AH318" s="256" t="n"/>
      <c r="AI318" s="253" t="n"/>
    </row>
    <row r="319" hidden="1" outlineLevel="1" s="592">
      <c r="A319" s="241">
        <f>$A305&amp;"."&amp;14</f>
        <v/>
      </c>
      <c r="B319" s="241" t="n"/>
      <c r="C319" s="255">
        <f>$C$305</f>
        <v/>
      </c>
      <c r="D319" s="243" t="n"/>
      <c r="E319" s="244">
        <f>ROUNDUP(IF(J319=0,0,J319)*IF(K319&gt;0,K319,1)*IF(F319&gt;0,F319,1)*IF(H319&gt;0,H319,1),0)</f>
        <v/>
      </c>
      <c r="F319" s="245" t="n"/>
      <c r="G319" s="243" t="n"/>
      <c r="H319" s="245" t="n"/>
      <c r="I319" s="243" t="n"/>
      <c r="J319" s="246" t="n"/>
      <c r="K319" s="247" t="n"/>
      <c r="L319" s="248">
        <f>ROUNDUP(IF(Q319=0,0,Q319)*IF(R319&gt;0,R319,1)*IF(M319&gt;0,M319,1)*IF(O319&gt;0,O319,1),0)</f>
        <v/>
      </c>
      <c r="M319" s="245">
        <f>F319</f>
        <v/>
      </c>
      <c r="N319" s="243">
        <f>G319</f>
        <v/>
      </c>
      <c r="O319" s="245">
        <f>H319</f>
        <v/>
      </c>
      <c r="P319" s="243">
        <f>I319</f>
        <v/>
      </c>
      <c r="Q319" s="246">
        <f>J319</f>
        <v/>
      </c>
      <c r="R319" s="247">
        <f>K319</f>
        <v/>
      </c>
      <c r="S319" s="243" t="n"/>
      <c r="T319" s="249">
        <f>ROUNDUP(IF(Y319=0,0,Y319)*IF(Z319&gt;0,Z319,1)*IF(U319&gt;0,U319,1)*IF(W319&gt;0,W319,1),0)</f>
        <v/>
      </c>
      <c r="U319" s="245">
        <f>M319</f>
        <v/>
      </c>
      <c r="V319" s="243">
        <f>N319</f>
        <v/>
      </c>
      <c r="W319" s="245">
        <f>O319</f>
        <v/>
      </c>
      <c r="X319" s="243">
        <f>P319</f>
        <v/>
      </c>
      <c r="Y319" s="246">
        <f>Q319</f>
        <v/>
      </c>
      <c r="Z319" s="247">
        <f>R319</f>
        <v/>
      </c>
      <c r="AA319" s="243" t="n"/>
      <c r="AB319" s="254" t="n"/>
      <c r="AC319" s="254" t="n"/>
      <c r="AD319" s="254" t="n"/>
      <c r="AE319" s="254" t="n"/>
      <c r="AF319" s="254" t="n"/>
      <c r="AG319" s="255" t="n"/>
      <c r="AH319" s="256" t="n"/>
      <c r="AI319" s="253" t="n"/>
    </row>
    <row r="320" hidden="1" outlineLevel="1" s="592">
      <c r="A320" s="241">
        <f>$A305&amp;"."&amp;15</f>
        <v/>
      </c>
      <c r="B320" s="241" t="n"/>
      <c r="C320" s="255">
        <f>$C$305</f>
        <v/>
      </c>
      <c r="D320" s="243" t="n"/>
      <c r="E320" s="244">
        <f>ROUNDUP(IF(J320=0,0,J320)*IF(K320&gt;0,K320,1)*IF(F320&gt;0,F320,1)*IF(H320&gt;0,H320,1),0)</f>
        <v/>
      </c>
      <c r="F320" s="245" t="n"/>
      <c r="G320" s="243" t="n"/>
      <c r="H320" s="245" t="n"/>
      <c r="I320" s="243" t="n"/>
      <c r="J320" s="246" t="n"/>
      <c r="K320" s="247" t="n"/>
      <c r="L320" s="248">
        <f>ROUNDUP(IF(Q320=0,0,Q320)*IF(R320&gt;0,R320,1)*IF(M320&gt;0,M320,1)*IF(O320&gt;0,O320,1),0)</f>
        <v/>
      </c>
      <c r="M320" s="245">
        <f>F320</f>
        <v/>
      </c>
      <c r="N320" s="243">
        <f>G320</f>
        <v/>
      </c>
      <c r="O320" s="245">
        <f>H320</f>
        <v/>
      </c>
      <c r="P320" s="243">
        <f>I320</f>
        <v/>
      </c>
      <c r="Q320" s="246">
        <f>J320</f>
        <v/>
      </c>
      <c r="R320" s="247">
        <f>K320</f>
        <v/>
      </c>
      <c r="S320" s="243" t="n"/>
      <c r="T320" s="249">
        <f>ROUNDUP(IF(Y320=0,0,Y320)*IF(Z320&gt;0,Z320,1)*IF(U320&gt;0,U320,1)*IF(W320&gt;0,W320,1),0)</f>
        <v/>
      </c>
      <c r="U320" s="245">
        <f>M320</f>
        <v/>
      </c>
      <c r="V320" s="243">
        <f>N320</f>
        <v/>
      </c>
      <c r="W320" s="245">
        <f>O320</f>
        <v/>
      </c>
      <c r="X320" s="243">
        <f>P320</f>
        <v/>
      </c>
      <c r="Y320" s="246">
        <f>Q320</f>
        <v/>
      </c>
      <c r="Z320" s="247">
        <f>R320</f>
        <v/>
      </c>
      <c r="AA320" s="243" t="n"/>
      <c r="AB320" s="254" t="n"/>
      <c r="AC320" s="254" t="n"/>
      <c r="AD320" s="254" t="n"/>
      <c r="AE320" s="254" t="n"/>
      <c r="AF320" s="254" t="n"/>
      <c r="AG320" s="255" t="n"/>
      <c r="AH320" s="256" t="n"/>
      <c r="AI320" s="253" t="n"/>
    </row>
    <row r="321" hidden="1" outlineLevel="1" s="592">
      <c r="A321" s="241">
        <f>$A305&amp;"."&amp;16</f>
        <v/>
      </c>
      <c r="B321" s="241" t="n"/>
      <c r="C321" s="255">
        <f>$C$305</f>
        <v/>
      </c>
      <c r="D321" s="243" t="n"/>
      <c r="E321" s="244">
        <f>ROUNDUP(IF(J321=0,0,J321)*IF(K321&gt;0,K321,1)*IF(F321&gt;0,F321,1)*IF(H321&gt;0,H321,1),0)</f>
        <v/>
      </c>
      <c r="F321" s="245" t="n"/>
      <c r="G321" s="243" t="n"/>
      <c r="H321" s="245" t="n"/>
      <c r="I321" s="243" t="n"/>
      <c r="J321" s="246" t="n"/>
      <c r="K321" s="247" t="n"/>
      <c r="L321" s="248">
        <f>ROUNDUP(IF(Q321=0,0,Q321)*IF(R321&gt;0,R321,1)*IF(M321&gt;0,M321,1)*IF(O321&gt;0,O321,1),0)</f>
        <v/>
      </c>
      <c r="M321" s="245">
        <f>F321</f>
        <v/>
      </c>
      <c r="N321" s="243">
        <f>G321</f>
        <v/>
      </c>
      <c r="O321" s="245">
        <f>H321</f>
        <v/>
      </c>
      <c r="P321" s="243">
        <f>I321</f>
        <v/>
      </c>
      <c r="Q321" s="246">
        <f>J321</f>
        <v/>
      </c>
      <c r="R321" s="247">
        <f>K321</f>
        <v/>
      </c>
      <c r="S321" s="243" t="n"/>
      <c r="T321" s="249">
        <f>ROUNDUP(IF(Y321=0,0,Y321)*IF(Z321&gt;0,Z321,1)*IF(U321&gt;0,U321,1)*IF(W321&gt;0,W321,1),0)</f>
        <v/>
      </c>
      <c r="U321" s="245">
        <f>M321</f>
        <v/>
      </c>
      <c r="V321" s="243">
        <f>N321</f>
        <v/>
      </c>
      <c r="W321" s="245">
        <f>O321</f>
        <v/>
      </c>
      <c r="X321" s="243">
        <f>P321</f>
        <v/>
      </c>
      <c r="Y321" s="246">
        <f>Q321</f>
        <v/>
      </c>
      <c r="Z321" s="247">
        <f>R321</f>
        <v/>
      </c>
      <c r="AA321" s="243" t="n"/>
      <c r="AB321" s="254" t="n"/>
      <c r="AC321" s="254" t="n"/>
      <c r="AD321" s="254" t="n"/>
      <c r="AE321" s="254" t="n"/>
      <c r="AF321" s="254" t="n"/>
      <c r="AG321" s="255" t="n"/>
      <c r="AH321" s="256" t="n"/>
      <c r="AI321" s="253" t="n"/>
    </row>
    <row r="322" hidden="1" outlineLevel="1" s="592">
      <c r="A322" s="241">
        <f>$A305&amp;"."&amp;17</f>
        <v/>
      </c>
      <c r="B322" s="241" t="n"/>
      <c r="C322" s="255">
        <f>$C$305</f>
        <v/>
      </c>
      <c r="D322" s="243" t="n"/>
      <c r="E322" s="244">
        <f>ROUNDUP(IF(J322=0,0,J322)*IF(K322&gt;0,K322,1)*IF(F322&gt;0,F322,1)*IF(H322&gt;0,H322,1),0)</f>
        <v/>
      </c>
      <c r="F322" s="245" t="n"/>
      <c r="G322" s="243" t="n"/>
      <c r="H322" s="245" t="n"/>
      <c r="I322" s="243" t="n"/>
      <c r="J322" s="246" t="n"/>
      <c r="K322" s="247" t="n"/>
      <c r="L322" s="248">
        <f>ROUNDUP(IF(Q322=0,0,Q322)*IF(R322&gt;0,R322,1)*IF(M322&gt;0,M322,1)*IF(O322&gt;0,O322,1),0)</f>
        <v/>
      </c>
      <c r="M322" s="245">
        <f>F322</f>
        <v/>
      </c>
      <c r="N322" s="243">
        <f>G322</f>
        <v/>
      </c>
      <c r="O322" s="245">
        <f>H322</f>
        <v/>
      </c>
      <c r="P322" s="243">
        <f>I322</f>
        <v/>
      </c>
      <c r="Q322" s="246">
        <f>J322</f>
        <v/>
      </c>
      <c r="R322" s="247">
        <f>K322</f>
        <v/>
      </c>
      <c r="S322" s="243" t="n"/>
      <c r="T322" s="249">
        <f>ROUNDUP(IF(Y322=0,0,Y322)*IF(Z322&gt;0,Z322,1)*IF(U322&gt;0,U322,1)*IF(W322&gt;0,W322,1),0)</f>
        <v/>
      </c>
      <c r="U322" s="245">
        <f>M322</f>
        <v/>
      </c>
      <c r="V322" s="243">
        <f>N322</f>
        <v/>
      </c>
      <c r="W322" s="245">
        <f>O322</f>
        <v/>
      </c>
      <c r="X322" s="243">
        <f>P322</f>
        <v/>
      </c>
      <c r="Y322" s="246">
        <f>Q322</f>
        <v/>
      </c>
      <c r="Z322" s="247">
        <f>R322</f>
        <v/>
      </c>
      <c r="AA322" s="243" t="n"/>
      <c r="AB322" s="254" t="n"/>
      <c r="AC322" s="254" t="n"/>
      <c r="AD322" s="254" t="n"/>
      <c r="AE322" s="254" t="n"/>
      <c r="AF322" s="254" t="n"/>
      <c r="AG322" s="255" t="n"/>
      <c r="AH322" s="256" t="n"/>
      <c r="AI322" s="253" t="n"/>
    </row>
    <row r="323" hidden="1" outlineLevel="1" s="592">
      <c r="A323" s="241">
        <f>$A305&amp;"."&amp;18</f>
        <v/>
      </c>
      <c r="B323" s="241" t="n"/>
      <c r="C323" s="255">
        <f>$C$305</f>
        <v/>
      </c>
      <c r="D323" s="243" t="n"/>
      <c r="E323" s="244">
        <f>ROUNDUP(IF(J323=0,0,J323)*IF(K323&gt;0,K323,1)*IF(F323&gt;0,F323,1)*IF(H323&gt;0,H323,1),0)</f>
        <v/>
      </c>
      <c r="F323" s="245" t="n"/>
      <c r="G323" s="243" t="n"/>
      <c r="H323" s="245" t="n"/>
      <c r="I323" s="243" t="n"/>
      <c r="J323" s="246" t="n"/>
      <c r="K323" s="247" t="n"/>
      <c r="L323" s="248">
        <f>ROUNDUP(IF(Q323=0,0,Q323)*IF(R323&gt;0,R323,1)*IF(M323&gt;0,M323,1)*IF(O323&gt;0,O323,1),0)</f>
        <v/>
      </c>
      <c r="M323" s="245">
        <f>F323</f>
        <v/>
      </c>
      <c r="N323" s="243">
        <f>G323</f>
        <v/>
      </c>
      <c r="O323" s="245">
        <f>H323</f>
        <v/>
      </c>
      <c r="P323" s="243">
        <f>I323</f>
        <v/>
      </c>
      <c r="Q323" s="246">
        <f>J323</f>
        <v/>
      </c>
      <c r="R323" s="247">
        <f>K323</f>
        <v/>
      </c>
      <c r="S323" s="243" t="n"/>
      <c r="T323" s="249">
        <f>ROUNDUP(IF(Y323=0,0,Y323)*IF(Z323&gt;0,Z323,1)*IF(U323&gt;0,U323,1)*IF(W323&gt;0,W323,1),0)</f>
        <v/>
      </c>
      <c r="U323" s="245">
        <f>M323</f>
        <v/>
      </c>
      <c r="V323" s="243">
        <f>N323</f>
        <v/>
      </c>
      <c r="W323" s="245">
        <f>O323</f>
        <v/>
      </c>
      <c r="X323" s="243">
        <f>P323</f>
        <v/>
      </c>
      <c r="Y323" s="246">
        <f>Q323</f>
        <v/>
      </c>
      <c r="Z323" s="247">
        <f>R323</f>
        <v/>
      </c>
      <c r="AA323" s="243" t="n"/>
      <c r="AB323" s="254" t="n"/>
      <c r="AC323" s="254" t="n"/>
      <c r="AD323" s="254" t="n"/>
      <c r="AE323" s="254" t="n"/>
      <c r="AF323" s="254" t="n"/>
      <c r="AG323" s="255" t="n"/>
      <c r="AH323" s="256" t="n"/>
      <c r="AI323" s="253" t="n"/>
    </row>
    <row r="324" hidden="1" outlineLevel="1" s="592">
      <c r="A324" s="241">
        <f>$A305&amp;"."&amp;19</f>
        <v/>
      </c>
      <c r="B324" s="241" t="n"/>
      <c r="C324" s="255">
        <f>$C$305</f>
        <v/>
      </c>
      <c r="D324" s="243" t="n"/>
      <c r="E324" s="244">
        <f>ROUNDUP(IF(J324=0,0,J324)*IF(K324&gt;0,K324,1)*IF(F324&gt;0,F324,1)*IF(H324&gt;0,H324,1),0)</f>
        <v/>
      </c>
      <c r="F324" s="245" t="n"/>
      <c r="G324" s="243" t="n"/>
      <c r="H324" s="245" t="n"/>
      <c r="I324" s="243" t="n"/>
      <c r="J324" s="246" t="n"/>
      <c r="K324" s="247" t="n"/>
      <c r="L324" s="248">
        <f>ROUNDUP(IF(Q324=0,0,Q324)*IF(R324&gt;0,R324,1)*IF(M324&gt;0,M324,1)*IF(O324&gt;0,O324,1),0)</f>
        <v/>
      </c>
      <c r="M324" s="245">
        <f>F324</f>
        <v/>
      </c>
      <c r="N324" s="243">
        <f>G324</f>
        <v/>
      </c>
      <c r="O324" s="245">
        <f>H324</f>
        <v/>
      </c>
      <c r="P324" s="243">
        <f>I324</f>
        <v/>
      </c>
      <c r="Q324" s="246">
        <f>J324</f>
        <v/>
      </c>
      <c r="R324" s="247">
        <f>K324</f>
        <v/>
      </c>
      <c r="S324" s="243" t="n"/>
      <c r="T324" s="249">
        <f>ROUNDUP(IF(Y324=0,0,Y324)*IF(Z324&gt;0,Z324,1)*IF(U324&gt;0,U324,1)*IF(W324&gt;0,W324,1),0)</f>
        <v/>
      </c>
      <c r="U324" s="245">
        <f>M324</f>
        <v/>
      </c>
      <c r="V324" s="243">
        <f>N324</f>
        <v/>
      </c>
      <c r="W324" s="245">
        <f>O324</f>
        <v/>
      </c>
      <c r="X324" s="243">
        <f>P324</f>
        <v/>
      </c>
      <c r="Y324" s="246">
        <f>Q324</f>
        <v/>
      </c>
      <c r="Z324" s="247">
        <f>R324</f>
        <v/>
      </c>
      <c r="AA324" s="243" t="n"/>
      <c r="AB324" s="254" t="n"/>
      <c r="AC324" s="254" t="n"/>
      <c r="AD324" s="254" t="n"/>
      <c r="AE324" s="254" t="n"/>
      <c r="AF324" s="254" t="n"/>
      <c r="AG324" s="255" t="n"/>
      <c r="AH324" s="256" t="n"/>
      <c r="AI324" s="253" t="n"/>
    </row>
    <row r="325" hidden="1" outlineLevel="1" s="592">
      <c r="A325" s="241">
        <f>$A305&amp;"."&amp;20</f>
        <v/>
      </c>
      <c r="B325" s="241" t="n"/>
      <c r="C325" s="255">
        <f>$C$305</f>
        <v/>
      </c>
      <c r="D325" s="243" t="n"/>
      <c r="E325" s="244">
        <f>ROUNDUP(IF(J325=0,0,J325)*IF(K325&gt;0,K325,1)*IF(F325&gt;0,F325,1)*IF(H325&gt;0,H325,1),0)</f>
        <v/>
      </c>
      <c r="F325" s="245" t="n"/>
      <c r="G325" s="243" t="n"/>
      <c r="H325" s="245" t="n"/>
      <c r="I325" s="243" t="n"/>
      <c r="J325" s="246" t="n"/>
      <c r="K325" s="247" t="n"/>
      <c r="L325" s="248">
        <f>ROUNDUP(IF(Q325=0,0,Q325)*IF(R325&gt;0,R325,1)*IF(M325&gt;0,M325,1)*IF(O325&gt;0,O325,1),0)</f>
        <v/>
      </c>
      <c r="M325" s="245">
        <f>F325</f>
        <v/>
      </c>
      <c r="N325" s="243">
        <f>G325</f>
        <v/>
      </c>
      <c r="O325" s="245">
        <f>H325</f>
        <v/>
      </c>
      <c r="P325" s="243">
        <f>I325</f>
        <v/>
      </c>
      <c r="Q325" s="246">
        <f>J325</f>
        <v/>
      </c>
      <c r="R325" s="247">
        <f>K325</f>
        <v/>
      </c>
      <c r="S325" s="243" t="n"/>
      <c r="T325" s="249">
        <f>ROUNDUP(IF(Y325=0,0,Y325)*IF(Z325&gt;0,Z325,1)*IF(U325&gt;0,U325,1)*IF(W325&gt;0,W325,1),0)</f>
        <v/>
      </c>
      <c r="U325" s="245">
        <f>M325</f>
        <v/>
      </c>
      <c r="V325" s="243">
        <f>N325</f>
        <v/>
      </c>
      <c r="W325" s="245">
        <f>O325</f>
        <v/>
      </c>
      <c r="X325" s="243">
        <f>P325</f>
        <v/>
      </c>
      <c r="Y325" s="246">
        <f>Q325</f>
        <v/>
      </c>
      <c r="Z325" s="247">
        <f>R325</f>
        <v/>
      </c>
      <c r="AA325" s="243" t="n"/>
      <c r="AB325" s="254" t="n"/>
      <c r="AC325" s="254" t="n"/>
      <c r="AD325" s="254" t="n"/>
      <c r="AE325" s="254" t="n"/>
      <c r="AF325" s="254" t="n"/>
      <c r="AG325" s="255" t="n"/>
      <c r="AH325" s="256" t="n"/>
      <c r="AI325" s="253" t="n"/>
    </row>
    <row r="326" collapsed="1" s="592">
      <c r="A326" s="257" t="n">
        <v>16</v>
      </c>
      <c r="B326" s="257">
        <f>IFERROR(__xludf.DUMMYFUNCTION("vlookup(C326,IMPORTRANGE(REF!$B$3,""FP!B:C""),2,0)"),"#N/A")</f>
        <v/>
      </c>
      <c r="C326" s="237" t="inlineStr">
        <is>
          <t>ชื่อกิจกรรมที่ 16</t>
        </is>
      </c>
      <c r="D326" s="232" t="n"/>
      <c r="E326" s="233">
        <f>SUM(E327:E346)</f>
        <v/>
      </c>
      <c r="F326" s="234" t="n"/>
      <c r="G326" s="235" t="n"/>
      <c r="H326" s="234" t="n"/>
      <c r="I326" s="235" t="n"/>
      <c r="J326" s="233" t="n"/>
      <c r="K326" s="236" t="n"/>
      <c r="L326" s="233">
        <f>SUM(L327:L346)</f>
        <v/>
      </c>
      <c r="M326" s="234" t="n"/>
      <c r="N326" s="235" t="n"/>
      <c r="O326" s="234" t="n"/>
      <c r="P326" s="235" t="n"/>
      <c r="Q326" s="233" t="n"/>
      <c r="R326" s="236" t="n"/>
      <c r="S326" s="235" t="n"/>
      <c r="T326" s="233">
        <f>SUM(T327:T346)</f>
        <v/>
      </c>
      <c r="U326" s="234" t="n"/>
      <c r="V326" s="235" t="n"/>
      <c r="W326" s="234" t="n"/>
      <c r="X326" s="235" t="n"/>
      <c r="Y326" s="233" t="n"/>
      <c r="Z326" s="236" t="n"/>
      <c r="AA326" s="235" t="n"/>
      <c r="AB326" s="237" t="n"/>
      <c r="AC326" s="237" t="n"/>
      <c r="AD326" s="237" t="n"/>
      <c r="AE326" s="237" t="n"/>
      <c r="AF326" s="237" t="n"/>
      <c r="AG326" s="238" t="b">
        <v>0</v>
      </c>
      <c r="AH326" s="239" t="n"/>
      <c r="AI326" s="253" t="n"/>
    </row>
    <row r="327" hidden="1" outlineLevel="1" s="592">
      <c r="A327" s="241">
        <f>$A326&amp;"."&amp;1</f>
        <v/>
      </c>
      <c r="B327" s="241" t="n"/>
      <c r="C327" s="255">
        <f>$C$326</f>
        <v/>
      </c>
      <c r="D327" s="243" t="n"/>
      <c r="E327" s="244">
        <f>ROUNDUP(IF(J327=0,0,J327)*IF(K327&gt;0,K327,1)*IF(F327&gt;0,F327,1)*IF(H327&gt;0,H327,1),0)</f>
        <v/>
      </c>
      <c r="F327" s="245" t="n"/>
      <c r="G327" s="243" t="n"/>
      <c r="H327" s="245" t="n"/>
      <c r="I327" s="243" t="n"/>
      <c r="J327" s="246" t="n"/>
      <c r="K327" s="247" t="n"/>
      <c r="L327" s="248">
        <f>ROUNDUP(IF(Q327=0,0,Q327)*IF(R327&gt;0,R327,1)*IF(M327&gt;0,M327,1)*IF(O327&gt;0,O327,1),0)</f>
        <v/>
      </c>
      <c r="M327" s="245">
        <f>F327</f>
        <v/>
      </c>
      <c r="N327" s="243">
        <f>G327</f>
        <v/>
      </c>
      <c r="O327" s="245">
        <f>H327</f>
        <v/>
      </c>
      <c r="P327" s="243">
        <f>I327</f>
        <v/>
      </c>
      <c r="Q327" s="246">
        <f>J327</f>
        <v/>
      </c>
      <c r="R327" s="247">
        <f>K327</f>
        <v/>
      </c>
      <c r="S327" s="243" t="n"/>
      <c r="T327" s="249">
        <f>ROUNDUP(IF(Y327=0,0,Y327)*IF(Z327&gt;0,Z327,1)*IF(U327&gt;0,U327,1)*IF(W327&gt;0,W327,1),0)</f>
        <v/>
      </c>
      <c r="U327" s="245">
        <f>M327</f>
        <v/>
      </c>
      <c r="V327" s="243">
        <f>N327</f>
        <v/>
      </c>
      <c r="W327" s="245">
        <f>O327</f>
        <v/>
      </c>
      <c r="X327" s="243">
        <f>P327</f>
        <v/>
      </c>
      <c r="Y327" s="246">
        <f>Q327</f>
        <v/>
      </c>
      <c r="Z327" s="247">
        <f>R327</f>
        <v/>
      </c>
      <c r="AA327" s="243" t="n"/>
      <c r="AB327" s="254" t="n"/>
      <c r="AC327" s="254" t="n"/>
      <c r="AD327" s="254" t="n"/>
      <c r="AE327" s="254" t="n"/>
      <c r="AF327" s="254" t="n"/>
      <c r="AG327" s="255" t="n"/>
      <c r="AH327" s="256" t="n"/>
      <c r="AI327" s="253" t="n"/>
    </row>
    <row r="328" hidden="1" outlineLevel="1" s="592">
      <c r="A328" s="241">
        <f>$A326&amp;"."&amp;2</f>
        <v/>
      </c>
      <c r="B328" s="241" t="n"/>
      <c r="C328" s="255">
        <f>$C$326</f>
        <v/>
      </c>
      <c r="D328" s="243" t="n"/>
      <c r="E328" s="244">
        <f>ROUNDUP(IF(J328=0,0,J328)*IF(K328&gt;0,K328,1)*IF(F328&gt;0,F328,1)*IF(H328&gt;0,H328,1),0)</f>
        <v/>
      </c>
      <c r="F328" s="245" t="n"/>
      <c r="G328" s="243" t="n"/>
      <c r="H328" s="245" t="n"/>
      <c r="I328" s="243" t="n"/>
      <c r="J328" s="246" t="n"/>
      <c r="K328" s="247" t="n"/>
      <c r="L328" s="248">
        <f>ROUNDUP(IF(Q328=0,0,Q328)*IF(R328&gt;0,R328,1)*IF(M328&gt;0,M328,1)*IF(O328&gt;0,O328,1),0)</f>
        <v/>
      </c>
      <c r="M328" s="245">
        <f>F328</f>
        <v/>
      </c>
      <c r="N328" s="243">
        <f>G328</f>
        <v/>
      </c>
      <c r="O328" s="245">
        <f>H328</f>
        <v/>
      </c>
      <c r="P328" s="243">
        <f>I328</f>
        <v/>
      </c>
      <c r="Q328" s="246">
        <f>J328</f>
        <v/>
      </c>
      <c r="R328" s="247">
        <f>K328</f>
        <v/>
      </c>
      <c r="S328" s="243" t="n"/>
      <c r="T328" s="249">
        <f>ROUNDUP(IF(Y328=0,0,Y328)*IF(Z328&gt;0,Z328,1)*IF(U328&gt;0,U328,1)*IF(W328&gt;0,W328,1),0)</f>
        <v/>
      </c>
      <c r="U328" s="245">
        <f>M328</f>
        <v/>
      </c>
      <c r="V328" s="243">
        <f>N328</f>
        <v/>
      </c>
      <c r="W328" s="245">
        <f>O328</f>
        <v/>
      </c>
      <c r="X328" s="243">
        <f>P328</f>
        <v/>
      </c>
      <c r="Y328" s="246">
        <f>Q328</f>
        <v/>
      </c>
      <c r="Z328" s="247">
        <f>R328</f>
        <v/>
      </c>
      <c r="AA328" s="243" t="n"/>
      <c r="AB328" s="254" t="n"/>
      <c r="AC328" s="254" t="n"/>
      <c r="AD328" s="254" t="n"/>
      <c r="AE328" s="254" t="n"/>
      <c r="AF328" s="254" t="n"/>
      <c r="AG328" s="255" t="n"/>
      <c r="AH328" s="256" t="n"/>
      <c r="AI328" s="253" t="n"/>
    </row>
    <row r="329" hidden="1" outlineLevel="1" s="592">
      <c r="A329" s="241">
        <f>$A326&amp;"."&amp;3</f>
        <v/>
      </c>
      <c r="B329" s="241" t="n"/>
      <c r="C329" s="255">
        <f>$C$326</f>
        <v/>
      </c>
      <c r="D329" s="243" t="n"/>
      <c r="E329" s="244">
        <f>ROUNDUP(IF(J329=0,0,J329)*IF(K329&gt;0,K329,1)*IF(F329&gt;0,F329,1)*IF(H329&gt;0,H329,1),0)</f>
        <v/>
      </c>
      <c r="F329" s="245" t="n"/>
      <c r="G329" s="243" t="n"/>
      <c r="H329" s="245" t="n"/>
      <c r="I329" s="243" t="n"/>
      <c r="J329" s="246" t="n"/>
      <c r="K329" s="247" t="n"/>
      <c r="L329" s="248">
        <f>ROUNDUP(IF(Q329=0,0,Q329)*IF(R329&gt;0,R329,1)*IF(M329&gt;0,M329,1)*IF(O329&gt;0,O329,1),0)</f>
        <v/>
      </c>
      <c r="M329" s="245">
        <f>F329</f>
        <v/>
      </c>
      <c r="N329" s="243">
        <f>G329</f>
        <v/>
      </c>
      <c r="O329" s="245">
        <f>H329</f>
        <v/>
      </c>
      <c r="P329" s="243">
        <f>I329</f>
        <v/>
      </c>
      <c r="Q329" s="246">
        <f>J329</f>
        <v/>
      </c>
      <c r="R329" s="247">
        <f>K329</f>
        <v/>
      </c>
      <c r="S329" s="243" t="n"/>
      <c r="T329" s="249">
        <f>ROUNDUP(IF(Y329=0,0,Y329)*IF(Z329&gt;0,Z329,1)*IF(U329&gt;0,U329,1)*IF(W329&gt;0,W329,1),0)</f>
        <v/>
      </c>
      <c r="U329" s="245">
        <f>M329</f>
        <v/>
      </c>
      <c r="V329" s="243">
        <f>N329</f>
        <v/>
      </c>
      <c r="W329" s="245">
        <f>O329</f>
        <v/>
      </c>
      <c r="X329" s="243">
        <f>P329</f>
        <v/>
      </c>
      <c r="Y329" s="246">
        <f>Q329</f>
        <v/>
      </c>
      <c r="Z329" s="247">
        <f>R329</f>
        <v/>
      </c>
      <c r="AA329" s="243" t="n"/>
      <c r="AB329" s="254" t="n"/>
      <c r="AC329" s="254" t="n"/>
      <c r="AD329" s="254" t="n"/>
      <c r="AE329" s="254" t="n"/>
      <c r="AF329" s="254" t="n"/>
      <c r="AG329" s="255" t="n"/>
      <c r="AH329" s="256" t="n"/>
      <c r="AI329" s="253" t="n"/>
    </row>
    <row r="330" hidden="1" outlineLevel="1" s="592">
      <c r="A330" s="241">
        <f>$A326&amp;"."&amp;4</f>
        <v/>
      </c>
      <c r="B330" s="241" t="n"/>
      <c r="C330" s="255">
        <f>$C$326</f>
        <v/>
      </c>
      <c r="D330" s="243" t="n"/>
      <c r="E330" s="244">
        <f>ROUNDUP(IF(J330=0,0,J330)*IF(K330&gt;0,K330,1)*IF(F330&gt;0,F330,1)*IF(H330&gt;0,H330,1),0)</f>
        <v/>
      </c>
      <c r="F330" s="245" t="n"/>
      <c r="G330" s="243" t="n"/>
      <c r="H330" s="245" t="n"/>
      <c r="I330" s="243" t="n"/>
      <c r="J330" s="246" t="n"/>
      <c r="K330" s="247" t="n"/>
      <c r="L330" s="248">
        <f>ROUNDUP(IF(Q330=0,0,Q330)*IF(R330&gt;0,R330,1)*IF(M330&gt;0,M330,1)*IF(O330&gt;0,O330,1),0)</f>
        <v/>
      </c>
      <c r="M330" s="245">
        <f>F330</f>
        <v/>
      </c>
      <c r="N330" s="243">
        <f>G330</f>
        <v/>
      </c>
      <c r="O330" s="245">
        <f>H330</f>
        <v/>
      </c>
      <c r="P330" s="243">
        <f>I330</f>
        <v/>
      </c>
      <c r="Q330" s="246">
        <f>J330</f>
        <v/>
      </c>
      <c r="R330" s="247">
        <f>K330</f>
        <v/>
      </c>
      <c r="S330" s="243" t="n"/>
      <c r="T330" s="249">
        <f>ROUNDUP(IF(Y330=0,0,Y330)*IF(Z330&gt;0,Z330,1)*IF(U330&gt;0,U330,1)*IF(W330&gt;0,W330,1),0)</f>
        <v/>
      </c>
      <c r="U330" s="245">
        <f>M330</f>
        <v/>
      </c>
      <c r="V330" s="243">
        <f>N330</f>
        <v/>
      </c>
      <c r="W330" s="245">
        <f>O330</f>
        <v/>
      </c>
      <c r="X330" s="243">
        <f>P330</f>
        <v/>
      </c>
      <c r="Y330" s="246">
        <f>Q330</f>
        <v/>
      </c>
      <c r="Z330" s="247">
        <f>R330</f>
        <v/>
      </c>
      <c r="AA330" s="243" t="n"/>
      <c r="AB330" s="254" t="n"/>
      <c r="AC330" s="254" t="n"/>
      <c r="AD330" s="254" t="n"/>
      <c r="AE330" s="254" t="n"/>
      <c r="AF330" s="254" t="n"/>
      <c r="AG330" s="255" t="n"/>
      <c r="AH330" s="256" t="n"/>
      <c r="AI330" s="253" t="n"/>
    </row>
    <row r="331" hidden="1" outlineLevel="1" s="592">
      <c r="A331" s="241">
        <f>$A326&amp;"."&amp;5</f>
        <v/>
      </c>
      <c r="B331" s="241" t="n"/>
      <c r="C331" s="255">
        <f>$C$326</f>
        <v/>
      </c>
      <c r="D331" s="243" t="n"/>
      <c r="E331" s="244">
        <f>ROUNDUP(IF(J331=0,0,J331)*IF(K331&gt;0,K331,1)*IF(F331&gt;0,F331,1)*IF(H331&gt;0,H331,1),0)</f>
        <v/>
      </c>
      <c r="F331" s="245" t="n"/>
      <c r="G331" s="243" t="n"/>
      <c r="H331" s="245" t="n"/>
      <c r="I331" s="243" t="n"/>
      <c r="J331" s="246" t="n"/>
      <c r="K331" s="247" t="n"/>
      <c r="L331" s="248">
        <f>ROUNDUP(IF(Q331=0,0,Q331)*IF(R331&gt;0,R331,1)*IF(M331&gt;0,M331,1)*IF(O331&gt;0,O331,1),0)</f>
        <v/>
      </c>
      <c r="M331" s="245">
        <f>F331</f>
        <v/>
      </c>
      <c r="N331" s="243">
        <f>G331</f>
        <v/>
      </c>
      <c r="O331" s="245">
        <f>H331</f>
        <v/>
      </c>
      <c r="P331" s="243">
        <f>I331</f>
        <v/>
      </c>
      <c r="Q331" s="246">
        <f>J331</f>
        <v/>
      </c>
      <c r="R331" s="247">
        <f>K331</f>
        <v/>
      </c>
      <c r="S331" s="243" t="n"/>
      <c r="T331" s="249">
        <f>ROUNDUP(IF(Y331=0,0,Y331)*IF(Z331&gt;0,Z331,1)*IF(U331&gt;0,U331,1)*IF(W331&gt;0,W331,1),0)</f>
        <v/>
      </c>
      <c r="U331" s="245">
        <f>M331</f>
        <v/>
      </c>
      <c r="V331" s="243">
        <f>N331</f>
        <v/>
      </c>
      <c r="W331" s="245">
        <f>O331</f>
        <v/>
      </c>
      <c r="X331" s="243">
        <f>P331</f>
        <v/>
      </c>
      <c r="Y331" s="246">
        <f>Q331</f>
        <v/>
      </c>
      <c r="Z331" s="247">
        <f>R331</f>
        <v/>
      </c>
      <c r="AA331" s="243" t="n"/>
      <c r="AB331" s="254" t="n"/>
      <c r="AC331" s="254" t="n"/>
      <c r="AD331" s="254" t="n"/>
      <c r="AE331" s="254" t="n"/>
      <c r="AF331" s="254" t="n"/>
      <c r="AG331" s="255" t="n"/>
      <c r="AH331" s="256" t="n"/>
      <c r="AI331" s="253" t="n"/>
    </row>
    <row r="332" hidden="1" outlineLevel="1" s="592">
      <c r="A332" s="241">
        <f>$A326&amp;"."&amp;6</f>
        <v/>
      </c>
      <c r="B332" s="241" t="n"/>
      <c r="C332" s="255">
        <f>$C$326</f>
        <v/>
      </c>
      <c r="D332" s="243" t="n"/>
      <c r="E332" s="244">
        <f>ROUNDUP(IF(J332=0,0,J332)*IF(K332&gt;0,K332,1)*IF(F332&gt;0,F332,1)*IF(H332&gt;0,H332,1),0)</f>
        <v/>
      </c>
      <c r="F332" s="245" t="n"/>
      <c r="G332" s="243" t="n"/>
      <c r="H332" s="245" t="n"/>
      <c r="I332" s="243" t="n"/>
      <c r="J332" s="246" t="n"/>
      <c r="K332" s="247" t="n"/>
      <c r="L332" s="248">
        <f>ROUNDUP(IF(Q332=0,0,Q332)*IF(R332&gt;0,R332,1)*IF(M332&gt;0,M332,1)*IF(O332&gt;0,O332,1),0)</f>
        <v/>
      </c>
      <c r="M332" s="245">
        <f>F332</f>
        <v/>
      </c>
      <c r="N332" s="243">
        <f>G332</f>
        <v/>
      </c>
      <c r="O332" s="245">
        <f>H332</f>
        <v/>
      </c>
      <c r="P332" s="243">
        <f>I332</f>
        <v/>
      </c>
      <c r="Q332" s="246">
        <f>J332</f>
        <v/>
      </c>
      <c r="R332" s="247">
        <f>K332</f>
        <v/>
      </c>
      <c r="S332" s="243" t="n"/>
      <c r="T332" s="249">
        <f>ROUNDUP(IF(Y332=0,0,Y332)*IF(Z332&gt;0,Z332,1)*IF(U332&gt;0,U332,1)*IF(W332&gt;0,W332,1),0)</f>
        <v/>
      </c>
      <c r="U332" s="245">
        <f>M332</f>
        <v/>
      </c>
      <c r="V332" s="243">
        <f>N332</f>
        <v/>
      </c>
      <c r="W332" s="245">
        <f>O332</f>
        <v/>
      </c>
      <c r="X332" s="243">
        <f>P332</f>
        <v/>
      </c>
      <c r="Y332" s="246">
        <f>Q332</f>
        <v/>
      </c>
      <c r="Z332" s="247">
        <f>R332</f>
        <v/>
      </c>
      <c r="AA332" s="243" t="n"/>
      <c r="AB332" s="254" t="n"/>
      <c r="AC332" s="254" t="n"/>
      <c r="AD332" s="254" t="n"/>
      <c r="AE332" s="254" t="n"/>
      <c r="AF332" s="254" t="n"/>
      <c r="AG332" s="255" t="n"/>
      <c r="AH332" s="256" t="n"/>
      <c r="AI332" s="253" t="n"/>
    </row>
    <row r="333" hidden="1" outlineLevel="1" s="592">
      <c r="A333" s="241">
        <f>$A326&amp;"."&amp;7</f>
        <v/>
      </c>
      <c r="B333" s="241" t="n"/>
      <c r="C333" s="255">
        <f>$C$326</f>
        <v/>
      </c>
      <c r="D333" s="243" t="n"/>
      <c r="E333" s="244">
        <f>ROUNDUP(IF(J333=0,0,J333)*IF(K333&gt;0,K333,1)*IF(F333&gt;0,F333,1)*IF(H333&gt;0,H333,1),0)</f>
        <v/>
      </c>
      <c r="F333" s="245" t="n"/>
      <c r="G333" s="243" t="n"/>
      <c r="H333" s="245" t="n"/>
      <c r="I333" s="243" t="n"/>
      <c r="J333" s="246" t="n"/>
      <c r="K333" s="247" t="n"/>
      <c r="L333" s="248">
        <f>ROUNDUP(IF(Q333=0,0,Q333)*IF(R333&gt;0,R333,1)*IF(M333&gt;0,M333,1)*IF(O333&gt;0,O333,1),0)</f>
        <v/>
      </c>
      <c r="M333" s="245">
        <f>F333</f>
        <v/>
      </c>
      <c r="N333" s="243">
        <f>G333</f>
        <v/>
      </c>
      <c r="O333" s="245">
        <f>H333</f>
        <v/>
      </c>
      <c r="P333" s="243">
        <f>I333</f>
        <v/>
      </c>
      <c r="Q333" s="246">
        <f>J333</f>
        <v/>
      </c>
      <c r="R333" s="247">
        <f>K333</f>
        <v/>
      </c>
      <c r="S333" s="243" t="n"/>
      <c r="T333" s="249">
        <f>ROUNDUP(IF(Y333=0,0,Y333)*IF(Z333&gt;0,Z333,1)*IF(U333&gt;0,U333,1)*IF(W333&gt;0,W333,1),0)</f>
        <v/>
      </c>
      <c r="U333" s="245">
        <f>M333</f>
        <v/>
      </c>
      <c r="V333" s="243">
        <f>N333</f>
        <v/>
      </c>
      <c r="W333" s="245">
        <f>O333</f>
        <v/>
      </c>
      <c r="X333" s="243">
        <f>P333</f>
        <v/>
      </c>
      <c r="Y333" s="246">
        <f>Q333</f>
        <v/>
      </c>
      <c r="Z333" s="247">
        <f>R333</f>
        <v/>
      </c>
      <c r="AA333" s="243" t="n"/>
      <c r="AB333" s="254" t="n"/>
      <c r="AC333" s="254" t="n"/>
      <c r="AD333" s="254" t="n"/>
      <c r="AE333" s="254" t="n"/>
      <c r="AF333" s="254" t="n"/>
      <c r="AG333" s="255" t="n"/>
      <c r="AH333" s="256" t="n"/>
      <c r="AI333" s="253" t="n"/>
    </row>
    <row r="334" hidden="1" outlineLevel="1" s="592">
      <c r="A334" s="241">
        <f>$A326&amp;"."&amp;8</f>
        <v/>
      </c>
      <c r="B334" s="241" t="n"/>
      <c r="C334" s="255">
        <f>$C$326</f>
        <v/>
      </c>
      <c r="D334" s="243" t="n"/>
      <c r="E334" s="244">
        <f>ROUNDUP(IF(J334=0,0,J334)*IF(K334&gt;0,K334,1)*IF(F334&gt;0,F334,1)*IF(H334&gt;0,H334,1),0)</f>
        <v/>
      </c>
      <c r="F334" s="245" t="n"/>
      <c r="G334" s="243" t="n"/>
      <c r="H334" s="245" t="n"/>
      <c r="I334" s="243" t="n"/>
      <c r="J334" s="246" t="n"/>
      <c r="K334" s="247" t="n"/>
      <c r="L334" s="248">
        <f>ROUNDUP(IF(Q334=0,0,Q334)*IF(R334&gt;0,R334,1)*IF(M334&gt;0,M334,1)*IF(O334&gt;0,O334,1),0)</f>
        <v/>
      </c>
      <c r="M334" s="245">
        <f>F334</f>
        <v/>
      </c>
      <c r="N334" s="243">
        <f>G334</f>
        <v/>
      </c>
      <c r="O334" s="245">
        <f>H334</f>
        <v/>
      </c>
      <c r="P334" s="243">
        <f>I334</f>
        <v/>
      </c>
      <c r="Q334" s="246">
        <f>J334</f>
        <v/>
      </c>
      <c r="R334" s="247">
        <f>K334</f>
        <v/>
      </c>
      <c r="S334" s="243" t="n"/>
      <c r="T334" s="249">
        <f>ROUNDUP(IF(Y334=0,0,Y334)*IF(Z334&gt;0,Z334,1)*IF(U334&gt;0,U334,1)*IF(W334&gt;0,W334,1),0)</f>
        <v/>
      </c>
      <c r="U334" s="245">
        <f>M334</f>
        <v/>
      </c>
      <c r="V334" s="243">
        <f>N334</f>
        <v/>
      </c>
      <c r="W334" s="245">
        <f>O334</f>
        <v/>
      </c>
      <c r="X334" s="243">
        <f>P334</f>
        <v/>
      </c>
      <c r="Y334" s="246">
        <f>Q334</f>
        <v/>
      </c>
      <c r="Z334" s="247">
        <f>R334</f>
        <v/>
      </c>
      <c r="AA334" s="243" t="n"/>
      <c r="AB334" s="254" t="n"/>
      <c r="AC334" s="254" t="n"/>
      <c r="AD334" s="254" t="n"/>
      <c r="AE334" s="254" t="n"/>
      <c r="AF334" s="254" t="n"/>
      <c r="AG334" s="255" t="n"/>
      <c r="AH334" s="256" t="n"/>
      <c r="AI334" s="253" t="n"/>
    </row>
    <row r="335" hidden="1" outlineLevel="1" s="592">
      <c r="A335" s="241">
        <f>$A326&amp;"."&amp;9</f>
        <v/>
      </c>
      <c r="B335" s="241" t="n"/>
      <c r="C335" s="255">
        <f>$C$326</f>
        <v/>
      </c>
      <c r="D335" s="243" t="n"/>
      <c r="E335" s="244">
        <f>ROUNDUP(IF(J335=0,0,J335)*IF(K335&gt;0,K335,1)*IF(F335&gt;0,F335,1)*IF(H335&gt;0,H335,1),0)</f>
        <v/>
      </c>
      <c r="F335" s="245" t="n"/>
      <c r="G335" s="243" t="n"/>
      <c r="H335" s="245" t="n"/>
      <c r="I335" s="243" t="n"/>
      <c r="J335" s="246" t="n"/>
      <c r="K335" s="247" t="n"/>
      <c r="L335" s="248">
        <f>ROUNDUP(IF(Q335=0,0,Q335)*IF(R335&gt;0,R335,1)*IF(M335&gt;0,M335,1)*IF(O335&gt;0,O335,1),0)</f>
        <v/>
      </c>
      <c r="M335" s="245">
        <f>F335</f>
        <v/>
      </c>
      <c r="N335" s="243">
        <f>G335</f>
        <v/>
      </c>
      <c r="O335" s="245">
        <f>H335</f>
        <v/>
      </c>
      <c r="P335" s="243">
        <f>I335</f>
        <v/>
      </c>
      <c r="Q335" s="246">
        <f>J335</f>
        <v/>
      </c>
      <c r="R335" s="247">
        <f>K335</f>
        <v/>
      </c>
      <c r="S335" s="243" t="n"/>
      <c r="T335" s="249">
        <f>ROUNDUP(IF(Y335=0,0,Y335)*IF(Z335&gt;0,Z335,1)*IF(U335&gt;0,U335,1)*IF(W335&gt;0,W335,1),0)</f>
        <v/>
      </c>
      <c r="U335" s="245">
        <f>M335</f>
        <v/>
      </c>
      <c r="V335" s="243">
        <f>N335</f>
        <v/>
      </c>
      <c r="W335" s="245">
        <f>O335</f>
        <v/>
      </c>
      <c r="X335" s="243">
        <f>P335</f>
        <v/>
      </c>
      <c r="Y335" s="246">
        <f>Q335</f>
        <v/>
      </c>
      <c r="Z335" s="247">
        <f>R335</f>
        <v/>
      </c>
      <c r="AA335" s="243" t="n"/>
      <c r="AB335" s="254" t="n"/>
      <c r="AC335" s="254" t="n"/>
      <c r="AD335" s="254" t="n"/>
      <c r="AE335" s="254" t="n"/>
      <c r="AF335" s="254" t="n"/>
      <c r="AG335" s="255" t="n"/>
      <c r="AH335" s="256" t="n"/>
      <c r="AI335" s="253" t="n"/>
    </row>
    <row r="336" hidden="1" outlineLevel="1" s="592">
      <c r="A336" s="241">
        <f>$A326&amp;"."&amp;10</f>
        <v/>
      </c>
      <c r="B336" s="241" t="n"/>
      <c r="C336" s="255">
        <f>$C$326</f>
        <v/>
      </c>
      <c r="D336" s="243" t="n"/>
      <c r="E336" s="244">
        <f>ROUNDUP(IF(J336=0,0,J336)*IF(K336&gt;0,K336,1)*IF(F336&gt;0,F336,1)*IF(H336&gt;0,H336,1),0)</f>
        <v/>
      </c>
      <c r="F336" s="245" t="n"/>
      <c r="G336" s="243" t="n"/>
      <c r="H336" s="245" t="n"/>
      <c r="I336" s="243" t="n"/>
      <c r="J336" s="246" t="n"/>
      <c r="K336" s="247" t="n"/>
      <c r="L336" s="248">
        <f>ROUNDUP(IF(Q336=0,0,Q336)*IF(R336&gt;0,R336,1)*IF(M336&gt;0,M336,1)*IF(O336&gt;0,O336,1),0)</f>
        <v/>
      </c>
      <c r="M336" s="245">
        <f>F336</f>
        <v/>
      </c>
      <c r="N336" s="243">
        <f>G336</f>
        <v/>
      </c>
      <c r="O336" s="245">
        <f>H336</f>
        <v/>
      </c>
      <c r="P336" s="243">
        <f>I336</f>
        <v/>
      </c>
      <c r="Q336" s="246">
        <f>J336</f>
        <v/>
      </c>
      <c r="R336" s="247">
        <f>K336</f>
        <v/>
      </c>
      <c r="S336" s="243" t="n"/>
      <c r="T336" s="249">
        <f>ROUNDUP(IF(Y336=0,0,Y336)*IF(Z336&gt;0,Z336,1)*IF(U336&gt;0,U336,1)*IF(W336&gt;0,W336,1),0)</f>
        <v/>
      </c>
      <c r="U336" s="245">
        <f>M336</f>
        <v/>
      </c>
      <c r="V336" s="243">
        <f>N336</f>
        <v/>
      </c>
      <c r="W336" s="245">
        <f>O336</f>
        <v/>
      </c>
      <c r="X336" s="243">
        <f>P336</f>
        <v/>
      </c>
      <c r="Y336" s="246">
        <f>Q336</f>
        <v/>
      </c>
      <c r="Z336" s="247">
        <f>R336</f>
        <v/>
      </c>
      <c r="AA336" s="243" t="n"/>
      <c r="AB336" s="254" t="n"/>
      <c r="AC336" s="254" t="n"/>
      <c r="AD336" s="254" t="n"/>
      <c r="AE336" s="254" t="n"/>
      <c r="AF336" s="254" t="n"/>
      <c r="AG336" s="255" t="n"/>
      <c r="AH336" s="256" t="n"/>
      <c r="AI336" s="253" t="n"/>
    </row>
    <row r="337" hidden="1" outlineLevel="1" s="592">
      <c r="A337" s="241">
        <f>$A326&amp;"."&amp;11</f>
        <v/>
      </c>
      <c r="B337" s="241" t="n"/>
      <c r="C337" s="255">
        <f>$C$326</f>
        <v/>
      </c>
      <c r="D337" s="243" t="n"/>
      <c r="E337" s="244">
        <f>ROUNDUP(IF(J337=0,0,J337)*IF(K337&gt;0,K337,1)*IF(F337&gt;0,F337,1)*IF(H337&gt;0,H337,1),0)</f>
        <v/>
      </c>
      <c r="F337" s="245" t="n"/>
      <c r="G337" s="243" t="n"/>
      <c r="H337" s="245" t="n"/>
      <c r="I337" s="243" t="n"/>
      <c r="J337" s="246" t="n"/>
      <c r="K337" s="247" t="n"/>
      <c r="L337" s="248">
        <f>ROUNDUP(IF(Q337=0,0,Q337)*IF(R337&gt;0,R337,1)*IF(M337&gt;0,M337,1)*IF(O337&gt;0,O337,1),0)</f>
        <v/>
      </c>
      <c r="M337" s="245">
        <f>F337</f>
        <v/>
      </c>
      <c r="N337" s="243">
        <f>G337</f>
        <v/>
      </c>
      <c r="O337" s="245">
        <f>H337</f>
        <v/>
      </c>
      <c r="P337" s="243">
        <f>I337</f>
        <v/>
      </c>
      <c r="Q337" s="246">
        <f>J337</f>
        <v/>
      </c>
      <c r="R337" s="247">
        <f>K337</f>
        <v/>
      </c>
      <c r="S337" s="243" t="n"/>
      <c r="T337" s="249">
        <f>ROUNDUP(IF(Y337=0,0,Y337)*IF(Z337&gt;0,Z337,1)*IF(U337&gt;0,U337,1)*IF(W337&gt;0,W337,1),0)</f>
        <v/>
      </c>
      <c r="U337" s="245">
        <f>M337</f>
        <v/>
      </c>
      <c r="V337" s="243">
        <f>N337</f>
        <v/>
      </c>
      <c r="W337" s="245">
        <f>O337</f>
        <v/>
      </c>
      <c r="X337" s="243">
        <f>P337</f>
        <v/>
      </c>
      <c r="Y337" s="246">
        <f>Q337</f>
        <v/>
      </c>
      <c r="Z337" s="247">
        <f>R337</f>
        <v/>
      </c>
      <c r="AA337" s="243" t="n"/>
      <c r="AB337" s="254" t="n"/>
      <c r="AC337" s="254" t="n"/>
      <c r="AD337" s="254" t="n"/>
      <c r="AE337" s="254" t="n"/>
      <c r="AF337" s="254" t="n"/>
      <c r="AG337" s="255" t="n"/>
      <c r="AH337" s="256" t="n"/>
      <c r="AI337" s="253" t="n"/>
    </row>
    <row r="338" hidden="1" outlineLevel="1" s="592">
      <c r="A338" s="241">
        <f>$A326&amp;"."&amp;12</f>
        <v/>
      </c>
      <c r="B338" s="241" t="n"/>
      <c r="C338" s="255">
        <f>$C$326</f>
        <v/>
      </c>
      <c r="D338" s="243" t="n"/>
      <c r="E338" s="244">
        <f>ROUNDUP(IF(J338=0,0,J338)*IF(K338&gt;0,K338,1)*IF(F338&gt;0,F338,1)*IF(H338&gt;0,H338,1),0)</f>
        <v/>
      </c>
      <c r="F338" s="245" t="n"/>
      <c r="G338" s="243" t="n"/>
      <c r="H338" s="245" t="n"/>
      <c r="I338" s="243" t="n"/>
      <c r="J338" s="246" t="n"/>
      <c r="K338" s="247" t="n"/>
      <c r="L338" s="248">
        <f>ROUNDUP(IF(Q338=0,0,Q338)*IF(R338&gt;0,R338,1)*IF(M338&gt;0,M338,1)*IF(O338&gt;0,O338,1),0)</f>
        <v/>
      </c>
      <c r="M338" s="245">
        <f>F338</f>
        <v/>
      </c>
      <c r="N338" s="243">
        <f>G338</f>
        <v/>
      </c>
      <c r="O338" s="245">
        <f>H338</f>
        <v/>
      </c>
      <c r="P338" s="243">
        <f>I338</f>
        <v/>
      </c>
      <c r="Q338" s="246">
        <f>J338</f>
        <v/>
      </c>
      <c r="R338" s="247">
        <f>K338</f>
        <v/>
      </c>
      <c r="S338" s="243" t="n"/>
      <c r="T338" s="249">
        <f>ROUNDUP(IF(Y338=0,0,Y338)*IF(Z338&gt;0,Z338,1)*IF(U338&gt;0,U338,1)*IF(W338&gt;0,W338,1),0)</f>
        <v/>
      </c>
      <c r="U338" s="245">
        <f>M338</f>
        <v/>
      </c>
      <c r="V338" s="243">
        <f>N338</f>
        <v/>
      </c>
      <c r="W338" s="245">
        <f>O338</f>
        <v/>
      </c>
      <c r="X338" s="243">
        <f>P338</f>
        <v/>
      </c>
      <c r="Y338" s="246">
        <f>Q338</f>
        <v/>
      </c>
      <c r="Z338" s="247">
        <f>R338</f>
        <v/>
      </c>
      <c r="AA338" s="243" t="n"/>
      <c r="AB338" s="254" t="n"/>
      <c r="AC338" s="254" t="n"/>
      <c r="AD338" s="254" t="n"/>
      <c r="AE338" s="254" t="n"/>
      <c r="AF338" s="254" t="n"/>
      <c r="AG338" s="255" t="n"/>
      <c r="AH338" s="256" t="n"/>
      <c r="AI338" s="253" t="n"/>
    </row>
    <row r="339" hidden="1" outlineLevel="1" s="592">
      <c r="A339" s="241">
        <f>$A326&amp;"."&amp;13</f>
        <v/>
      </c>
      <c r="B339" s="241" t="n"/>
      <c r="C339" s="255">
        <f>$C$326</f>
        <v/>
      </c>
      <c r="D339" s="243" t="n"/>
      <c r="E339" s="244">
        <f>ROUNDUP(IF(J339=0,0,J339)*IF(K339&gt;0,K339,1)*IF(F339&gt;0,F339,1)*IF(H339&gt;0,H339,1),0)</f>
        <v/>
      </c>
      <c r="F339" s="245" t="n"/>
      <c r="G339" s="243" t="n"/>
      <c r="H339" s="245" t="n"/>
      <c r="I339" s="243" t="n"/>
      <c r="J339" s="246" t="n"/>
      <c r="K339" s="247" t="n"/>
      <c r="L339" s="248">
        <f>ROUNDUP(IF(Q339=0,0,Q339)*IF(R339&gt;0,R339,1)*IF(M339&gt;0,M339,1)*IF(O339&gt;0,O339,1),0)</f>
        <v/>
      </c>
      <c r="M339" s="245">
        <f>F339</f>
        <v/>
      </c>
      <c r="N339" s="243">
        <f>G339</f>
        <v/>
      </c>
      <c r="O339" s="245">
        <f>H339</f>
        <v/>
      </c>
      <c r="P339" s="243">
        <f>I339</f>
        <v/>
      </c>
      <c r="Q339" s="246">
        <f>J339</f>
        <v/>
      </c>
      <c r="R339" s="247">
        <f>K339</f>
        <v/>
      </c>
      <c r="S339" s="243" t="n"/>
      <c r="T339" s="249">
        <f>ROUNDUP(IF(Y339=0,0,Y339)*IF(Z339&gt;0,Z339,1)*IF(U339&gt;0,U339,1)*IF(W339&gt;0,W339,1),0)</f>
        <v/>
      </c>
      <c r="U339" s="245">
        <f>M339</f>
        <v/>
      </c>
      <c r="V339" s="243">
        <f>N339</f>
        <v/>
      </c>
      <c r="W339" s="245">
        <f>O339</f>
        <v/>
      </c>
      <c r="X339" s="243">
        <f>P339</f>
        <v/>
      </c>
      <c r="Y339" s="246">
        <f>Q339</f>
        <v/>
      </c>
      <c r="Z339" s="247">
        <f>R339</f>
        <v/>
      </c>
      <c r="AA339" s="243" t="n"/>
      <c r="AB339" s="254" t="n"/>
      <c r="AC339" s="254" t="n"/>
      <c r="AD339" s="254" t="n"/>
      <c r="AE339" s="254" t="n"/>
      <c r="AF339" s="254" t="n"/>
      <c r="AG339" s="255" t="n"/>
      <c r="AH339" s="256" t="n"/>
      <c r="AI339" s="253" t="n"/>
    </row>
    <row r="340" hidden="1" outlineLevel="1" s="592">
      <c r="A340" s="241">
        <f>$A326&amp;"."&amp;14</f>
        <v/>
      </c>
      <c r="B340" s="241" t="n"/>
      <c r="C340" s="255">
        <f>$C$326</f>
        <v/>
      </c>
      <c r="D340" s="243" t="n"/>
      <c r="E340" s="244">
        <f>ROUNDUP(IF(J340=0,0,J340)*IF(K340&gt;0,K340,1)*IF(F340&gt;0,F340,1)*IF(H340&gt;0,H340,1),0)</f>
        <v/>
      </c>
      <c r="F340" s="245" t="n"/>
      <c r="G340" s="243" t="n"/>
      <c r="H340" s="245" t="n"/>
      <c r="I340" s="243" t="n"/>
      <c r="J340" s="246" t="n"/>
      <c r="K340" s="247" t="n"/>
      <c r="L340" s="248">
        <f>ROUNDUP(IF(Q340=0,0,Q340)*IF(R340&gt;0,R340,1)*IF(M340&gt;0,M340,1)*IF(O340&gt;0,O340,1),0)</f>
        <v/>
      </c>
      <c r="M340" s="245">
        <f>F340</f>
        <v/>
      </c>
      <c r="N340" s="243">
        <f>G340</f>
        <v/>
      </c>
      <c r="O340" s="245">
        <f>H340</f>
        <v/>
      </c>
      <c r="P340" s="243">
        <f>I340</f>
        <v/>
      </c>
      <c r="Q340" s="246">
        <f>J340</f>
        <v/>
      </c>
      <c r="R340" s="247">
        <f>K340</f>
        <v/>
      </c>
      <c r="S340" s="243" t="n"/>
      <c r="T340" s="249">
        <f>ROUNDUP(IF(Y340=0,0,Y340)*IF(Z340&gt;0,Z340,1)*IF(U340&gt;0,U340,1)*IF(W340&gt;0,W340,1),0)</f>
        <v/>
      </c>
      <c r="U340" s="245">
        <f>M340</f>
        <v/>
      </c>
      <c r="V340" s="243">
        <f>N340</f>
        <v/>
      </c>
      <c r="W340" s="245">
        <f>O340</f>
        <v/>
      </c>
      <c r="X340" s="243">
        <f>P340</f>
        <v/>
      </c>
      <c r="Y340" s="246">
        <f>Q340</f>
        <v/>
      </c>
      <c r="Z340" s="247">
        <f>R340</f>
        <v/>
      </c>
      <c r="AA340" s="243" t="n"/>
      <c r="AB340" s="254" t="n"/>
      <c r="AC340" s="254" t="n"/>
      <c r="AD340" s="254" t="n"/>
      <c r="AE340" s="254" t="n"/>
      <c r="AF340" s="254" t="n"/>
      <c r="AG340" s="255" t="n"/>
      <c r="AH340" s="256" t="n"/>
      <c r="AI340" s="253" t="n"/>
    </row>
    <row r="341" hidden="1" outlineLevel="1" s="592">
      <c r="A341" s="241">
        <f>$A326&amp;"."&amp;15</f>
        <v/>
      </c>
      <c r="B341" s="241" t="n"/>
      <c r="C341" s="255">
        <f>$C$326</f>
        <v/>
      </c>
      <c r="D341" s="243" t="n"/>
      <c r="E341" s="244">
        <f>ROUNDUP(IF(J341=0,0,J341)*IF(K341&gt;0,K341,1)*IF(F341&gt;0,F341,1)*IF(H341&gt;0,H341,1),0)</f>
        <v/>
      </c>
      <c r="F341" s="245" t="n"/>
      <c r="G341" s="243" t="n"/>
      <c r="H341" s="245" t="n"/>
      <c r="I341" s="243" t="n"/>
      <c r="J341" s="246" t="n"/>
      <c r="K341" s="247" t="n"/>
      <c r="L341" s="248">
        <f>ROUNDUP(IF(Q341=0,0,Q341)*IF(R341&gt;0,R341,1)*IF(M341&gt;0,M341,1)*IF(O341&gt;0,O341,1),0)</f>
        <v/>
      </c>
      <c r="M341" s="245">
        <f>F341</f>
        <v/>
      </c>
      <c r="N341" s="243">
        <f>G341</f>
        <v/>
      </c>
      <c r="O341" s="245">
        <f>H341</f>
        <v/>
      </c>
      <c r="P341" s="243">
        <f>I341</f>
        <v/>
      </c>
      <c r="Q341" s="246">
        <f>J341</f>
        <v/>
      </c>
      <c r="R341" s="247">
        <f>K341</f>
        <v/>
      </c>
      <c r="S341" s="243" t="n"/>
      <c r="T341" s="249">
        <f>ROUNDUP(IF(Y341=0,0,Y341)*IF(Z341&gt;0,Z341,1)*IF(U341&gt;0,U341,1)*IF(W341&gt;0,W341,1),0)</f>
        <v/>
      </c>
      <c r="U341" s="245">
        <f>M341</f>
        <v/>
      </c>
      <c r="V341" s="243">
        <f>N341</f>
        <v/>
      </c>
      <c r="W341" s="245">
        <f>O341</f>
        <v/>
      </c>
      <c r="X341" s="243">
        <f>P341</f>
        <v/>
      </c>
      <c r="Y341" s="246">
        <f>Q341</f>
        <v/>
      </c>
      <c r="Z341" s="247">
        <f>R341</f>
        <v/>
      </c>
      <c r="AA341" s="243" t="n"/>
      <c r="AB341" s="254" t="n"/>
      <c r="AC341" s="254" t="n"/>
      <c r="AD341" s="254" t="n"/>
      <c r="AE341" s="254" t="n"/>
      <c r="AF341" s="254" t="n"/>
      <c r="AG341" s="255" t="n"/>
      <c r="AH341" s="256" t="n"/>
      <c r="AI341" s="253" t="n"/>
    </row>
    <row r="342" hidden="1" outlineLevel="1" s="592">
      <c r="A342" s="241">
        <f>$A326&amp;"."&amp;16</f>
        <v/>
      </c>
      <c r="B342" s="241" t="n"/>
      <c r="C342" s="255">
        <f>$C$326</f>
        <v/>
      </c>
      <c r="D342" s="243" t="n"/>
      <c r="E342" s="244">
        <f>ROUNDUP(IF(J342=0,0,J342)*IF(K342&gt;0,K342,1)*IF(F342&gt;0,F342,1)*IF(H342&gt;0,H342,1),0)</f>
        <v/>
      </c>
      <c r="F342" s="245" t="n"/>
      <c r="G342" s="243" t="n"/>
      <c r="H342" s="245" t="n"/>
      <c r="I342" s="243" t="n"/>
      <c r="J342" s="246" t="n"/>
      <c r="K342" s="247" t="n"/>
      <c r="L342" s="248">
        <f>ROUNDUP(IF(Q342=0,0,Q342)*IF(R342&gt;0,R342,1)*IF(M342&gt;0,M342,1)*IF(O342&gt;0,O342,1),0)</f>
        <v/>
      </c>
      <c r="M342" s="245">
        <f>F342</f>
        <v/>
      </c>
      <c r="N342" s="243">
        <f>G342</f>
        <v/>
      </c>
      <c r="O342" s="245">
        <f>H342</f>
        <v/>
      </c>
      <c r="P342" s="243">
        <f>I342</f>
        <v/>
      </c>
      <c r="Q342" s="246">
        <f>J342</f>
        <v/>
      </c>
      <c r="R342" s="247">
        <f>K342</f>
        <v/>
      </c>
      <c r="S342" s="243" t="n"/>
      <c r="T342" s="249">
        <f>ROUNDUP(IF(Y342=0,0,Y342)*IF(Z342&gt;0,Z342,1)*IF(U342&gt;0,U342,1)*IF(W342&gt;0,W342,1),0)</f>
        <v/>
      </c>
      <c r="U342" s="245">
        <f>M342</f>
        <v/>
      </c>
      <c r="V342" s="243">
        <f>N342</f>
        <v/>
      </c>
      <c r="W342" s="245">
        <f>O342</f>
        <v/>
      </c>
      <c r="X342" s="243">
        <f>P342</f>
        <v/>
      </c>
      <c r="Y342" s="246">
        <f>Q342</f>
        <v/>
      </c>
      <c r="Z342" s="247">
        <f>R342</f>
        <v/>
      </c>
      <c r="AA342" s="243" t="n"/>
      <c r="AB342" s="254" t="n"/>
      <c r="AC342" s="254" t="n"/>
      <c r="AD342" s="254" t="n"/>
      <c r="AE342" s="254" t="n"/>
      <c r="AF342" s="254" t="n"/>
      <c r="AG342" s="255" t="n"/>
      <c r="AH342" s="256" t="n"/>
      <c r="AI342" s="253" t="n"/>
    </row>
    <row r="343" hidden="1" outlineLevel="1" s="592">
      <c r="A343" s="241">
        <f>$A326&amp;"."&amp;17</f>
        <v/>
      </c>
      <c r="B343" s="241" t="n"/>
      <c r="C343" s="255">
        <f>$C$326</f>
        <v/>
      </c>
      <c r="D343" s="243" t="n"/>
      <c r="E343" s="244">
        <f>ROUNDUP(IF(J343=0,0,J343)*IF(K343&gt;0,K343,1)*IF(F343&gt;0,F343,1)*IF(H343&gt;0,H343,1),0)</f>
        <v/>
      </c>
      <c r="F343" s="245" t="n"/>
      <c r="G343" s="243" t="n"/>
      <c r="H343" s="245" t="n"/>
      <c r="I343" s="243" t="n"/>
      <c r="J343" s="246" t="n"/>
      <c r="K343" s="247" t="n"/>
      <c r="L343" s="248">
        <f>ROUNDUP(IF(Q343=0,0,Q343)*IF(R343&gt;0,R343,1)*IF(M343&gt;0,M343,1)*IF(O343&gt;0,O343,1),0)</f>
        <v/>
      </c>
      <c r="M343" s="245">
        <f>F343</f>
        <v/>
      </c>
      <c r="N343" s="243">
        <f>G343</f>
        <v/>
      </c>
      <c r="O343" s="245">
        <f>H343</f>
        <v/>
      </c>
      <c r="P343" s="243">
        <f>I343</f>
        <v/>
      </c>
      <c r="Q343" s="246">
        <f>J343</f>
        <v/>
      </c>
      <c r="R343" s="247">
        <f>K343</f>
        <v/>
      </c>
      <c r="S343" s="243" t="n"/>
      <c r="T343" s="249">
        <f>ROUNDUP(IF(Y343=0,0,Y343)*IF(Z343&gt;0,Z343,1)*IF(U343&gt;0,U343,1)*IF(W343&gt;0,W343,1),0)</f>
        <v/>
      </c>
      <c r="U343" s="245">
        <f>M343</f>
        <v/>
      </c>
      <c r="V343" s="243">
        <f>N343</f>
        <v/>
      </c>
      <c r="W343" s="245">
        <f>O343</f>
        <v/>
      </c>
      <c r="X343" s="243">
        <f>P343</f>
        <v/>
      </c>
      <c r="Y343" s="246">
        <f>Q343</f>
        <v/>
      </c>
      <c r="Z343" s="247">
        <f>R343</f>
        <v/>
      </c>
      <c r="AA343" s="243" t="n"/>
      <c r="AB343" s="254" t="n"/>
      <c r="AC343" s="254" t="n"/>
      <c r="AD343" s="254" t="n"/>
      <c r="AE343" s="254" t="n"/>
      <c r="AF343" s="254" t="n"/>
      <c r="AG343" s="255" t="n"/>
      <c r="AH343" s="256" t="n"/>
      <c r="AI343" s="253" t="n"/>
    </row>
    <row r="344" hidden="1" outlineLevel="1" s="592">
      <c r="A344" s="241">
        <f>$A326&amp;"."&amp;18</f>
        <v/>
      </c>
      <c r="B344" s="241" t="n"/>
      <c r="C344" s="255">
        <f>$C$326</f>
        <v/>
      </c>
      <c r="D344" s="243" t="n"/>
      <c r="E344" s="244">
        <f>ROUNDUP(IF(J344=0,0,J344)*IF(K344&gt;0,K344,1)*IF(F344&gt;0,F344,1)*IF(H344&gt;0,H344,1),0)</f>
        <v/>
      </c>
      <c r="F344" s="245" t="n"/>
      <c r="G344" s="243" t="n"/>
      <c r="H344" s="245" t="n"/>
      <c r="I344" s="243" t="n"/>
      <c r="J344" s="246" t="n"/>
      <c r="K344" s="247" t="n"/>
      <c r="L344" s="248">
        <f>ROUNDUP(IF(Q344=0,0,Q344)*IF(R344&gt;0,R344,1)*IF(M344&gt;0,M344,1)*IF(O344&gt;0,O344,1),0)</f>
        <v/>
      </c>
      <c r="M344" s="245">
        <f>F344</f>
        <v/>
      </c>
      <c r="N344" s="243">
        <f>G344</f>
        <v/>
      </c>
      <c r="O344" s="245">
        <f>H344</f>
        <v/>
      </c>
      <c r="P344" s="243">
        <f>I344</f>
        <v/>
      </c>
      <c r="Q344" s="246">
        <f>J344</f>
        <v/>
      </c>
      <c r="R344" s="247">
        <f>K344</f>
        <v/>
      </c>
      <c r="S344" s="243" t="n"/>
      <c r="T344" s="249">
        <f>ROUNDUP(IF(Y344=0,0,Y344)*IF(Z344&gt;0,Z344,1)*IF(U344&gt;0,U344,1)*IF(W344&gt;0,W344,1),0)</f>
        <v/>
      </c>
      <c r="U344" s="245">
        <f>M344</f>
        <v/>
      </c>
      <c r="V344" s="243">
        <f>N344</f>
        <v/>
      </c>
      <c r="W344" s="245">
        <f>O344</f>
        <v/>
      </c>
      <c r="X344" s="243">
        <f>P344</f>
        <v/>
      </c>
      <c r="Y344" s="246">
        <f>Q344</f>
        <v/>
      </c>
      <c r="Z344" s="247">
        <f>R344</f>
        <v/>
      </c>
      <c r="AA344" s="243" t="n"/>
      <c r="AB344" s="254" t="n"/>
      <c r="AC344" s="254" t="n"/>
      <c r="AD344" s="254" t="n"/>
      <c r="AE344" s="254" t="n"/>
      <c r="AF344" s="254" t="n"/>
      <c r="AG344" s="255" t="n"/>
      <c r="AH344" s="256" t="n"/>
      <c r="AI344" s="253" t="n"/>
    </row>
    <row r="345" hidden="1" outlineLevel="1" s="592">
      <c r="A345" s="241">
        <f>$A326&amp;"."&amp;19</f>
        <v/>
      </c>
      <c r="B345" s="241" t="n"/>
      <c r="C345" s="255">
        <f>$C$326</f>
        <v/>
      </c>
      <c r="D345" s="243" t="n"/>
      <c r="E345" s="244">
        <f>ROUNDUP(IF(J345=0,0,J345)*IF(K345&gt;0,K345,1)*IF(F345&gt;0,F345,1)*IF(H345&gt;0,H345,1),0)</f>
        <v/>
      </c>
      <c r="F345" s="245" t="n"/>
      <c r="G345" s="243" t="n"/>
      <c r="H345" s="245" t="n"/>
      <c r="I345" s="243" t="n"/>
      <c r="J345" s="246" t="n"/>
      <c r="K345" s="247" t="n"/>
      <c r="L345" s="248">
        <f>ROUNDUP(IF(Q345=0,0,Q345)*IF(R345&gt;0,R345,1)*IF(M345&gt;0,M345,1)*IF(O345&gt;0,O345,1),0)</f>
        <v/>
      </c>
      <c r="M345" s="245">
        <f>F345</f>
        <v/>
      </c>
      <c r="N345" s="243">
        <f>G345</f>
        <v/>
      </c>
      <c r="O345" s="245">
        <f>H345</f>
        <v/>
      </c>
      <c r="P345" s="243">
        <f>I345</f>
        <v/>
      </c>
      <c r="Q345" s="246">
        <f>J345</f>
        <v/>
      </c>
      <c r="R345" s="247">
        <f>K345</f>
        <v/>
      </c>
      <c r="S345" s="243" t="n"/>
      <c r="T345" s="249">
        <f>ROUNDUP(IF(Y345=0,0,Y345)*IF(Z345&gt;0,Z345,1)*IF(U345&gt;0,U345,1)*IF(W345&gt;0,W345,1),0)</f>
        <v/>
      </c>
      <c r="U345" s="245">
        <f>M345</f>
        <v/>
      </c>
      <c r="V345" s="243">
        <f>N345</f>
        <v/>
      </c>
      <c r="W345" s="245">
        <f>O345</f>
        <v/>
      </c>
      <c r="X345" s="243">
        <f>P345</f>
        <v/>
      </c>
      <c r="Y345" s="246">
        <f>Q345</f>
        <v/>
      </c>
      <c r="Z345" s="247">
        <f>R345</f>
        <v/>
      </c>
      <c r="AA345" s="243" t="n"/>
      <c r="AB345" s="254" t="n"/>
      <c r="AC345" s="254" t="n"/>
      <c r="AD345" s="254" t="n"/>
      <c r="AE345" s="254" t="n"/>
      <c r="AF345" s="254" t="n"/>
      <c r="AG345" s="255" t="n"/>
      <c r="AH345" s="256" t="n"/>
      <c r="AI345" s="253" t="n"/>
    </row>
    <row r="346" hidden="1" outlineLevel="1" s="592">
      <c r="A346" s="241">
        <f>$A326&amp;"."&amp;20</f>
        <v/>
      </c>
      <c r="B346" s="241" t="n"/>
      <c r="C346" s="255">
        <f>$C$326</f>
        <v/>
      </c>
      <c r="D346" s="243" t="n"/>
      <c r="E346" s="244">
        <f>ROUNDUP(IF(J346=0,0,J346)*IF(K346&gt;0,K346,1)*IF(F346&gt;0,F346,1)*IF(H346&gt;0,H346,1),0)</f>
        <v/>
      </c>
      <c r="F346" s="245" t="n"/>
      <c r="G346" s="243" t="n"/>
      <c r="H346" s="245" t="n"/>
      <c r="I346" s="243" t="n"/>
      <c r="J346" s="246" t="n"/>
      <c r="K346" s="247" t="n"/>
      <c r="L346" s="248">
        <f>ROUNDUP(IF(Q346=0,0,Q346)*IF(R346&gt;0,R346,1)*IF(M346&gt;0,M346,1)*IF(O346&gt;0,O346,1),0)</f>
        <v/>
      </c>
      <c r="M346" s="245">
        <f>F346</f>
        <v/>
      </c>
      <c r="N346" s="243">
        <f>G346</f>
        <v/>
      </c>
      <c r="O346" s="245">
        <f>H346</f>
        <v/>
      </c>
      <c r="P346" s="243">
        <f>I346</f>
        <v/>
      </c>
      <c r="Q346" s="246">
        <f>J346</f>
        <v/>
      </c>
      <c r="R346" s="247">
        <f>K346</f>
        <v/>
      </c>
      <c r="S346" s="243" t="n"/>
      <c r="T346" s="249">
        <f>ROUNDUP(IF(Y346=0,0,Y346)*IF(Z346&gt;0,Z346,1)*IF(U346&gt;0,U346,1)*IF(W346&gt;0,W346,1),0)</f>
        <v/>
      </c>
      <c r="U346" s="245">
        <f>M346</f>
        <v/>
      </c>
      <c r="V346" s="243">
        <f>N346</f>
        <v/>
      </c>
      <c r="W346" s="245">
        <f>O346</f>
        <v/>
      </c>
      <c r="X346" s="243">
        <f>P346</f>
        <v/>
      </c>
      <c r="Y346" s="246">
        <f>Q346</f>
        <v/>
      </c>
      <c r="Z346" s="247">
        <f>R346</f>
        <v/>
      </c>
      <c r="AA346" s="243" t="n"/>
      <c r="AB346" s="254" t="n"/>
      <c r="AC346" s="254" t="n"/>
      <c r="AD346" s="254" t="n"/>
      <c r="AE346" s="254" t="n"/>
      <c r="AF346" s="254" t="n"/>
      <c r="AG346" s="255" t="n"/>
      <c r="AH346" s="256" t="n"/>
      <c r="AI346" s="253" t="n"/>
    </row>
    <row r="347" collapsed="1" s="592">
      <c r="A347" s="257" t="n">
        <v>17</v>
      </c>
      <c r="B347" s="257">
        <f>IFERROR(__xludf.DUMMYFUNCTION("vlookup(C347,IMPORTRANGE(REF!$B$3,""FP!B:C""),2,0)"),"#N/A")</f>
        <v/>
      </c>
      <c r="C347" s="237" t="inlineStr">
        <is>
          <t>ชื่อกิจกรรมที่ 17</t>
        </is>
      </c>
      <c r="D347" s="232" t="n"/>
      <c r="E347" s="233">
        <f>SUM(E348:E367)</f>
        <v/>
      </c>
      <c r="F347" s="234" t="n"/>
      <c r="G347" s="235" t="n"/>
      <c r="H347" s="234" t="n"/>
      <c r="I347" s="235" t="n"/>
      <c r="J347" s="233" t="n"/>
      <c r="K347" s="236" t="n"/>
      <c r="L347" s="233">
        <f>SUM(L348:L367)</f>
        <v/>
      </c>
      <c r="M347" s="234" t="n"/>
      <c r="N347" s="235" t="n"/>
      <c r="O347" s="234" t="n"/>
      <c r="P347" s="235" t="n"/>
      <c r="Q347" s="233" t="n"/>
      <c r="R347" s="236" t="n"/>
      <c r="S347" s="235" t="n"/>
      <c r="T347" s="233">
        <f>SUM(T348:T367)</f>
        <v/>
      </c>
      <c r="U347" s="234" t="n"/>
      <c r="V347" s="235" t="n"/>
      <c r="W347" s="234" t="n"/>
      <c r="X347" s="235" t="n"/>
      <c r="Y347" s="233" t="n"/>
      <c r="Z347" s="236" t="n"/>
      <c r="AA347" s="235" t="n"/>
      <c r="AB347" s="237" t="n"/>
      <c r="AC347" s="237" t="n"/>
      <c r="AD347" s="237" t="n"/>
      <c r="AE347" s="237" t="n"/>
      <c r="AF347" s="237" t="n"/>
      <c r="AG347" s="238" t="b">
        <v>0</v>
      </c>
      <c r="AH347" s="239" t="n"/>
      <c r="AI347" s="253" t="n"/>
    </row>
    <row r="348" hidden="1" outlineLevel="1" s="592">
      <c r="A348" s="241">
        <f>$A347&amp;"."&amp;1</f>
        <v/>
      </c>
      <c r="B348" s="241" t="n"/>
      <c r="C348" s="255">
        <f>$C$347</f>
        <v/>
      </c>
      <c r="D348" s="243" t="n"/>
      <c r="E348" s="244">
        <f>ROUNDUP(IF(J348=0,0,J348)*IF(K348&gt;0,K348,1)*IF(F348&gt;0,F348,1)*IF(H348&gt;0,H348,1),0)</f>
        <v/>
      </c>
      <c r="F348" s="245" t="n"/>
      <c r="G348" s="243" t="n"/>
      <c r="H348" s="245" t="n"/>
      <c r="I348" s="243" t="n"/>
      <c r="J348" s="246" t="n"/>
      <c r="K348" s="247" t="n"/>
      <c r="L348" s="248">
        <f>ROUNDUP(IF(Q348=0,0,Q348)*IF(R348&gt;0,R348,1)*IF(M348&gt;0,M348,1)*IF(O348&gt;0,O348,1),0)</f>
        <v/>
      </c>
      <c r="M348" s="245">
        <f>F348</f>
        <v/>
      </c>
      <c r="N348" s="243">
        <f>G348</f>
        <v/>
      </c>
      <c r="O348" s="245">
        <f>H348</f>
        <v/>
      </c>
      <c r="P348" s="243">
        <f>I348</f>
        <v/>
      </c>
      <c r="Q348" s="246">
        <f>J348</f>
        <v/>
      </c>
      <c r="R348" s="247">
        <f>K348</f>
        <v/>
      </c>
      <c r="S348" s="243" t="n"/>
      <c r="T348" s="249">
        <f>ROUNDUP(IF(Y348=0,0,Y348)*IF(Z348&gt;0,Z348,1)*IF(U348&gt;0,U348,1)*IF(W348&gt;0,W348,1),0)</f>
        <v/>
      </c>
      <c r="U348" s="245">
        <f>M348</f>
        <v/>
      </c>
      <c r="V348" s="243">
        <f>N348</f>
        <v/>
      </c>
      <c r="W348" s="245">
        <f>O348</f>
        <v/>
      </c>
      <c r="X348" s="243">
        <f>P348</f>
        <v/>
      </c>
      <c r="Y348" s="246">
        <f>Q348</f>
        <v/>
      </c>
      <c r="Z348" s="247">
        <f>R348</f>
        <v/>
      </c>
      <c r="AA348" s="243" t="n"/>
      <c r="AB348" s="254" t="n"/>
      <c r="AC348" s="254" t="n"/>
      <c r="AD348" s="254" t="n"/>
      <c r="AE348" s="254" t="n"/>
      <c r="AF348" s="254" t="n"/>
      <c r="AG348" s="255" t="n"/>
      <c r="AH348" s="256" t="n"/>
      <c r="AI348" s="253" t="n"/>
    </row>
    <row r="349" hidden="1" outlineLevel="1" s="592">
      <c r="A349" s="241">
        <f>$A347&amp;"."&amp;2</f>
        <v/>
      </c>
      <c r="B349" s="241" t="n"/>
      <c r="C349" s="255">
        <f>$C$347</f>
        <v/>
      </c>
      <c r="D349" s="243" t="n"/>
      <c r="E349" s="244">
        <f>ROUNDUP(IF(J349=0,0,J349)*IF(K349&gt;0,K349,1)*IF(F349&gt;0,F349,1)*IF(H349&gt;0,H349,1),0)</f>
        <v/>
      </c>
      <c r="F349" s="245" t="n"/>
      <c r="G349" s="243" t="n"/>
      <c r="H349" s="245" t="n"/>
      <c r="I349" s="243" t="n"/>
      <c r="J349" s="246" t="n"/>
      <c r="K349" s="247" t="n"/>
      <c r="L349" s="248">
        <f>ROUNDUP(IF(Q349=0,0,Q349)*IF(R349&gt;0,R349,1)*IF(M349&gt;0,M349,1)*IF(O349&gt;0,O349,1),0)</f>
        <v/>
      </c>
      <c r="M349" s="245">
        <f>F349</f>
        <v/>
      </c>
      <c r="N349" s="243">
        <f>G349</f>
        <v/>
      </c>
      <c r="O349" s="245">
        <f>H349</f>
        <v/>
      </c>
      <c r="P349" s="243">
        <f>I349</f>
        <v/>
      </c>
      <c r="Q349" s="246">
        <f>J349</f>
        <v/>
      </c>
      <c r="R349" s="247">
        <f>K349</f>
        <v/>
      </c>
      <c r="S349" s="243" t="n"/>
      <c r="T349" s="249">
        <f>ROUNDUP(IF(Y349=0,0,Y349)*IF(Z349&gt;0,Z349,1)*IF(U349&gt;0,U349,1)*IF(W349&gt;0,W349,1),0)</f>
        <v/>
      </c>
      <c r="U349" s="245">
        <f>M349</f>
        <v/>
      </c>
      <c r="V349" s="243">
        <f>N349</f>
        <v/>
      </c>
      <c r="W349" s="245">
        <f>O349</f>
        <v/>
      </c>
      <c r="X349" s="243">
        <f>P349</f>
        <v/>
      </c>
      <c r="Y349" s="246">
        <f>Q349</f>
        <v/>
      </c>
      <c r="Z349" s="247">
        <f>R349</f>
        <v/>
      </c>
      <c r="AA349" s="243" t="n"/>
      <c r="AB349" s="254" t="n"/>
      <c r="AC349" s="254" t="n"/>
      <c r="AD349" s="254" t="n"/>
      <c r="AE349" s="254" t="n"/>
      <c r="AF349" s="254" t="n"/>
      <c r="AG349" s="255" t="n"/>
      <c r="AH349" s="256" t="n"/>
      <c r="AI349" s="253" t="n"/>
    </row>
    <row r="350" hidden="1" outlineLevel="1" s="592">
      <c r="A350" s="241">
        <f>$A347&amp;"."&amp;3</f>
        <v/>
      </c>
      <c r="B350" s="241" t="n"/>
      <c r="C350" s="255">
        <f>$C$347</f>
        <v/>
      </c>
      <c r="D350" s="243" t="n"/>
      <c r="E350" s="244">
        <f>ROUNDUP(IF(J350=0,0,J350)*IF(K350&gt;0,K350,1)*IF(F350&gt;0,F350,1)*IF(H350&gt;0,H350,1),0)</f>
        <v/>
      </c>
      <c r="F350" s="245" t="n"/>
      <c r="G350" s="243" t="n"/>
      <c r="H350" s="245" t="n"/>
      <c r="I350" s="243" t="n"/>
      <c r="J350" s="246" t="n"/>
      <c r="K350" s="247" t="n"/>
      <c r="L350" s="248">
        <f>ROUNDUP(IF(Q350=0,0,Q350)*IF(R350&gt;0,R350,1)*IF(M350&gt;0,M350,1)*IF(O350&gt;0,O350,1),0)</f>
        <v/>
      </c>
      <c r="M350" s="245">
        <f>F350</f>
        <v/>
      </c>
      <c r="N350" s="243">
        <f>G350</f>
        <v/>
      </c>
      <c r="O350" s="245">
        <f>H350</f>
        <v/>
      </c>
      <c r="P350" s="243">
        <f>I350</f>
        <v/>
      </c>
      <c r="Q350" s="246">
        <f>J350</f>
        <v/>
      </c>
      <c r="R350" s="247">
        <f>K350</f>
        <v/>
      </c>
      <c r="S350" s="243" t="n"/>
      <c r="T350" s="249">
        <f>ROUNDUP(IF(Y350=0,0,Y350)*IF(Z350&gt;0,Z350,1)*IF(U350&gt;0,U350,1)*IF(W350&gt;0,W350,1),0)</f>
        <v/>
      </c>
      <c r="U350" s="245">
        <f>M350</f>
        <v/>
      </c>
      <c r="V350" s="243">
        <f>N350</f>
        <v/>
      </c>
      <c r="W350" s="245">
        <f>O350</f>
        <v/>
      </c>
      <c r="X350" s="243">
        <f>P350</f>
        <v/>
      </c>
      <c r="Y350" s="246">
        <f>Q350</f>
        <v/>
      </c>
      <c r="Z350" s="247">
        <f>R350</f>
        <v/>
      </c>
      <c r="AA350" s="243" t="n"/>
      <c r="AB350" s="254" t="n"/>
      <c r="AC350" s="254" t="n"/>
      <c r="AD350" s="254" t="n"/>
      <c r="AE350" s="254" t="n"/>
      <c r="AF350" s="254" t="n"/>
      <c r="AG350" s="255" t="n"/>
      <c r="AH350" s="256" t="n"/>
      <c r="AI350" s="253" t="n"/>
    </row>
    <row r="351" hidden="1" outlineLevel="1" s="592">
      <c r="A351" s="241">
        <f>$A347&amp;"."&amp;4</f>
        <v/>
      </c>
      <c r="B351" s="241" t="n"/>
      <c r="C351" s="255">
        <f>$C$347</f>
        <v/>
      </c>
      <c r="D351" s="243" t="n"/>
      <c r="E351" s="244">
        <f>ROUNDUP(IF(J351=0,0,J351)*IF(K351&gt;0,K351,1)*IF(F351&gt;0,F351,1)*IF(H351&gt;0,H351,1),0)</f>
        <v/>
      </c>
      <c r="F351" s="245" t="n"/>
      <c r="G351" s="243" t="n"/>
      <c r="H351" s="245" t="n"/>
      <c r="I351" s="243" t="n"/>
      <c r="J351" s="246" t="n"/>
      <c r="K351" s="247" t="n"/>
      <c r="L351" s="248">
        <f>ROUNDUP(IF(Q351=0,0,Q351)*IF(R351&gt;0,R351,1)*IF(M351&gt;0,M351,1)*IF(O351&gt;0,O351,1),0)</f>
        <v/>
      </c>
      <c r="M351" s="245">
        <f>F351</f>
        <v/>
      </c>
      <c r="N351" s="243">
        <f>G351</f>
        <v/>
      </c>
      <c r="O351" s="245">
        <f>H351</f>
        <v/>
      </c>
      <c r="P351" s="243">
        <f>I351</f>
        <v/>
      </c>
      <c r="Q351" s="246">
        <f>J351</f>
        <v/>
      </c>
      <c r="R351" s="247">
        <f>K351</f>
        <v/>
      </c>
      <c r="S351" s="243" t="n"/>
      <c r="T351" s="249">
        <f>ROUNDUP(IF(Y351=0,0,Y351)*IF(Z351&gt;0,Z351,1)*IF(U351&gt;0,U351,1)*IF(W351&gt;0,W351,1),0)</f>
        <v/>
      </c>
      <c r="U351" s="245">
        <f>M351</f>
        <v/>
      </c>
      <c r="V351" s="243">
        <f>N351</f>
        <v/>
      </c>
      <c r="W351" s="245">
        <f>O351</f>
        <v/>
      </c>
      <c r="X351" s="243">
        <f>P351</f>
        <v/>
      </c>
      <c r="Y351" s="246">
        <f>Q351</f>
        <v/>
      </c>
      <c r="Z351" s="247">
        <f>R351</f>
        <v/>
      </c>
      <c r="AA351" s="243" t="n"/>
      <c r="AB351" s="254" t="n"/>
      <c r="AC351" s="254" t="n"/>
      <c r="AD351" s="254" t="n"/>
      <c r="AE351" s="254" t="n"/>
      <c r="AF351" s="254" t="n"/>
      <c r="AG351" s="255" t="n"/>
      <c r="AH351" s="256" t="n"/>
      <c r="AI351" s="253" t="n"/>
    </row>
    <row r="352" hidden="1" outlineLevel="1" s="592">
      <c r="A352" s="241">
        <f>$A347&amp;"."&amp;5</f>
        <v/>
      </c>
      <c r="B352" s="241" t="n"/>
      <c r="C352" s="255">
        <f>$C$347</f>
        <v/>
      </c>
      <c r="D352" s="243" t="n"/>
      <c r="E352" s="244">
        <f>ROUNDUP(IF(J352=0,0,J352)*IF(K352&gt;0,K352,1)*IF(F352&gt;0,F352,1)*IF(H352&gt;0,H352,1),0)</f>
        <v/>
      </c>
      <c r="F352" s="245" t="n"/>
      <c r="G352" s="243" t="n"/>
      <c r="H352" s="245" t="n"/>
      <c r="I352" s="243" t="n"/>
      <c r="J352" s="246" t="n"/>
      <c r="K352" s="247" t="n"/>
      <c r="L352" s="248">
        <f>ROUNDUP(IF(Q352=0,0,Q352)*IF(R352&gt;0,R352,1)*IF(M352&gt;0,M352,1)*IF(O352&gt;0,O352,1),0)</f>
        <v/>
      </c>
      <c r="M352" s="245">
        <f>F352</f>
        <v/>
      </c>
      <c r="N352" s="243">
        <f>G352</f>
        <v/>
      </c>
      <c r="O352" s="245">
        <f>H352</f>
        <v/>
      </c>
      <c r="P352" s="243">
        <f>I352</f>
        <v/>
      </c>
      <c r="Q352" s="246">
        <f>J352</f>
        <v/>
      </c>
      <c r="R352" s="247">
        <f>K352</f>
        <v/>
      </c>
      <c r="S352" s="243" t="n"/>
      <c r="T352" s="249">
        <f>ROUNDUP(IF(Y352=0,0,Y352)*IF(Z352&gt;0,Z352,1)*IF(U352&gt;0,U352,1)*IF(W352&gt;0,W352,1),0)</f>
        <v/>
      </c>
      <c r="U352" s="245">
        <f>M352</f>
        <v/>
      </c>
      <c r="V352" s="243">
        <f>N352</f>
        <v/>
      </c>
      <c r="W352" s="245">
        <f>O352</f>
        <v/>
      </c>
      <c r="X352" s="243">
        <f>P352</f>
        <v/>
      </c>
      <c r="Y352" s="246">
        <f>Q352</f>
        <v/>
      </c>
      <c r="Z352" s="247">
        <f>R352</f>
        <v/>
      </c>
      <c r="AA352" s="243" t="n"/>
      <c r="AB352" s="254" t="n"/>
      <c r="AC352" s="254" t="n"/>
      <c r="AD352" s="254" t="n"/>
      <c r="AE352" s="254" t="n"/>
      <c r="AF352" s="254" t="n"/>
      <c r="AG352" s="255" t="n"/>
      <c r="AH352" s="256" t="n"/>
      <c r="AI352" s="253" t="n"/>
    </row>
    <row r="353" hidden="1" outlineLevel="1" s="592">
      <c r="A353" s="241">
        <f>$A347&amp;"."&amp;6</f>
        <v/>
      </c>
      <c r="B353" s="241" t="n"/>
      <c r="C353" s="255">
        <f>$C$347</f>
        <v/>
      </c>
      <c r="D353" s="243" t="n"/>
      <c r="E353" s="244">
        <f>ROUNDUP(IF(J353=0,0,J353)*IF(K353&gt;0,K353,1)*IF(F353&gt;0,F353,1)*IF(H353&gt;0,H353,1),0)</f>
        <v/>
      </c>
      <c r="F353" s="245" t="n"/>
      <c r="G353" s="243" t="n"/>
      <c r="H353" s="245" t="n"/>
      <c r="I353" s="243" t="n"/>
      <c r="J353" s="246" t="n"/>
      <c r="K353" s="247" t="n"/>
      <c r="L353" s="248">
        <f>ROUNDUP(IF(Q353=0,0,Q353)*IF(R353&gt;0,R353,1)*IF(M353&gt;0,M353,1)*IF(O353&gt;0,O353,1),0)</f>
        <v/>
      </c>
      <c r="M353" s="245">
        <f>F353</f>
        <v/>
      </c>
      <c r="N353" s="243">
        <f>G353</f>
        <v/>
      </c>
      <c r="O353" s="245">
        <f>H353</f>
        <v/>
      </c>
      <c r="P353" s="243">
        <f>I353</f>
        <v/>
      </c>
      <c r="Q353" s="246">
        <f>J353</f>
        <v/>
      </c>
      <c r="R353" s="247">
        <f>K353</f>
        <v/>
      </c>
      <c r="S353" s="243" t="n"/>
      <c r="T353" s="249">
        <f>ROUNDUP(IF(Y353=0,0,Y353)*IF(Z353&gt;0,Z353,1)*IF(U353&gt;0,U353,1)*IF(W353&gt;0,W353,1),0)</f>
        <v/>
      </c>
      <c r="U353" s="245">
        <f>M353</f>
        <v/>
      </c>
      <c r="V353" s="243">
        <f>N353</f>
        <v/>
      </c>
      <c r="W353" s="245">
        <f>O353</f>
        <v/>
      </c>
      <c r="X353" s="243">
        <f>P353</f>
        <v/>
      </c>
      <c r="Y353" s="246">
        <f>Q353</f>
        <v/>
      </c>
      <c r="Z353" s="247">
        <f>R353</f>
        <v/>
      </c>
      <c r="AA353" s="243" t="n"/>
      <c r="AB353" s="254" t="n"/>
      <c r="AC353" s="254" t="n"/>
      <c r="AD353" s="254" t="n"/>
      <c r="AE353" s="254" t="n"/>
      <c r="AF353" s="254" t="n"/>
      <c r="AG353" s="255" t="n"/>
      <c r="AH353" s="256" t="n"/>
      <c r="AI353" s="253" t="n"/>
    </row>
    <row r="354" hidden="1" outlineLevel="1" s="592">
      <c r="A354" s="241">
        <f>$A347&amp;"."&amp;7</f>
        <v/>
      </c>
      <c r="B354" s="241" t="n"/>
      <c r="C354" s="255">
        <f>$C$347</f>
        <v/>
      </c>
      <c r="D354" s="243" t="n"/>
      <c r="E354" s="244">
        <f>ROUNDUP(IF(J354=0,0,J354)*IF(K354&gt;0,K354,1)*IF(F354&gt;0,F354,1)*IF(H354&gt;0,H354,1),0)</f>
        <v/>
      </c>
      <c r="F354" s="245" t="n"/>
      <c r="G354" s="243" t="n"/>
      <c r="H354" s="245" t="n"/>
      <c r="I354" s="243" t="n"/>
      <c r="J354" s="246" t="n"/>
      <c r="K354" s="247" t="n"/>
      <c r="L354" s="248">
        <f>ROUNDUP(IF(Q354=0,0,Q354)*IF(R354&gt;0,R354,1)*IF(M354&gt;0,M354,1)*IF(O354&gt;0,O354,1),0)</f>
        <v/>
      </c>
      <c r="M354" s="245">
        <f>F354</f>
        <v/>
      </c>
      <c r="N354" s="243">
        <f>G354</f>
        <v/>
      </c>
      <c r="O354" s="245">
        <f>H354</f>
        <v/>
      </c>
      <c r="P354" s="243">
        <f>I354</f>
        <v/>
      </c>
      <c r="Q354" s="246">
        <f>J354</f>
        <v/>
      </c>
      <c r="R354" s="247">
        <f>K354</f>
        <v/>
      </c>
      <c r="S354" s="243" t="n"/>
      <c r="T354" s="249">
        <f>ROUNDUP(IF(Y354=0,0,Y354)*IF(Z354&gt;0,Z354,1)*IF(U354&gt;0,U354,1)*IF(W354&gt;0,W354,1),0)</f>
        <v/>
      </c>
      <c r="U354" s="245">
        <f>M354</f>
        <v/>
      </c>
      <c r="V354" s="243">
        <f>N354</f>
        <v/>
      </c>
      <c r="W354" s="245">
        <f>O354</f>
        <v/>
      </c>
      <c r="X354" s="243">
        <f>P354</f>
        <v/>
      </c>
      <c r="Y354" s="246">
        <f>Q354</f>
        <v/>
      </c>
      <c r="Z354" s="247">
        <f>R354</f>
        <v/>
      </c>
      <c r="AA354" s="243" t="n"/>
      <c r="AB354" s="254" t="n"/>
      <c r="AC354" s="254" t="n"/>
      <c r="AD354" s="254" t="n"/>
      <c r="AE354" s="254" t="n"/>
      <c r="AF354" s="254" t="n"/>
      <c r="AG354" s="255" t="n"/>
      <c r="AH354" s="256" t="n"/>
      <c r="AI354" s="253" t="n"/>
    </row>
    <row r="355" hidden="1" outlineLevel="1" s="592">
      <c r="A355" s="241">
        <f>$A347&amp;"."&amp;8</f>
        <v/>
      </c>
      <c r="B355" s="241" t="n"/>
      <c r="C355" s="255">
        <f>$C$347</f>
        <v/>
      </c>
      <c r="D355" s="243" t="n"/>
      <c r="E355" s="244">
        <f>ROUNDUP(IF(J355=0,0,J355)*IF(K355&gt;0,K355,1)*IF(F355&gt;0,F355,1)*IF(H355&gt;0,H355,1),0)</f>
        <v/>
      </c>
      <c r="F355" s="245" t="n"/>
      <c r="G355" s="243" t="n"/>
      <c r="H355" s="245" t="n"/>
      <c r="I355" s="243" t="n"/>
      <c r="J355" s="246" t="n"/>
      <c r="K355" s="247" t="n"/>
      <c r="L355" s="248">
        <f>ROUNDUP(IF(Q355=0,0,Q355)*IF(R355&gt;0,R355,1)*IF(M355&gt;0,M355,1)*IF(O355&gt;0,O355,1),0)</f>
        <v/>
      </c>
      <c r="M355" s="245">
        <f>F355</f>
        <v/>
      </c>
      <c r="N355" s="243">
        <f>G355</f>
        <v/>
      </c>
      <c r="O355" s="245">
        <f>H355</f>
        <v/>
      </c>
      <c r="P355" s="243">
        <f>I355</f>
        <v/>
      </c>
      <c r="Q355" s="246">
        <f>J355</f>
        <v/>
      </c>
      <c r="R355" s="247">
        <f>K355</f>
        <v/>
      </c>
      <c r="S355" s="243" t="n"/>
      <c r="T355" s="249">
        <f>ROUNDUP(IF(Y355=0,0,Y355)*IF(Z355&gt;0,Z355,1)*IF(U355&gt;0,U355,1)*IF(W355&gt;0,W355,1),0)</f>
        <v/>
      </c>
      <c r="U355" s="245">
        <f>M355</f>
        <v/>
      </c>
      <c r="V355" s="243">
        <f>N355</f>
        <v/>
      </c>
      <c r="W355" s="245">
        <f>O355</f>
        <v/>
      </c>
      <c r="X355" s="243">
        <f>P355</f>
        <v/>
      </c>
      <c r="Y355" s="246">
        <f>Q355</f>
        <v/>
      </c>
      <c r="Z355" s="247">
        <f>R355</f>
        <v/>
      </c>
      <c r="AA355" s="243" t="n"/>
      <c r="AB355" s="254" t="n"/>
      <c r="AC355" s="254" t="n"/>
      <c r="AD355" s="254" t="n"/>
      <c r="AE355" s="254" t="n"/>
      <c r="AF355" s="254" t="n"/>
      <c r="AG355" s="255" t="n"/>
      <c r="AH355" s="256" t="n"/>
      <c r="AI355" s="253" t="n"/>
    </row>
    <row r="356" hidden="1" outlineLevel="1" s="592">
      <c r="A356" s="241">
        <f>$A347&amp;"."&amp;9</f>
        <v/>
      </c>
      <c r="B356" s="241" t="n"/>
      <c r="C356" s="255">
        <f>$C$347</f>
        <v/>
      </c>
      <c r="D356" s="243" t="n"/>
      <c r="E356" s="244">
        <f>ROUNDUP(IF(J356=0,0,J356)*IF(K356&gt;0,K356,1)*IF(F356&gt;0,F356,1)*IF(H356&gt;0,H356,1),0)</f>
        <v/>
      </c>
      <c r="F356" s="245" t="n"/>
      <c r="G356" s="243" t="n"/>
      <c r="H356" s="245" t="n"/>
      <c r="I356" s="243" t="n"/>
      <c r="J356" s="246" t="n"/>
      <c r="K356" s="247" t="n"/>
      <c r="L356" s="248">
        <f>ROUNDUP(IF(Q356=0,0,Q356)*IF(R356&gt;0,R356,1)*IF(M356&gt;0,M356,1)*IF(O356&gt;0,O356,1),0)</f>
        <v/>
      </c>
      <c r="M356" s="245">
        <f>F356</f>
        <v/>
      </c>
      <c r="N356" s="243">
        <f>G356</f>
        <v/>
      </c>
      <c r="O356" s="245">
        <f>H356</f>
        <v/>
      </c>
      <c r="P356" s="243">
        <f>I356</f>
        <v/>
      </c>
      <c r="Q356" s="246">
        <f>J356</f>
        <v/>
      </c>
      <c r="R356" s="247">
        <f>K356</f>
        <v/>
      </c>
      <c r="S356" s="243" t="n"/>
      <c r="T356" s="249">
        <f>ROUNDUP(IF(Y356=0,0,Y356)*IF(Z356&gt;0,Z356,1)*IF(U356&gt;0,U356,1)*IF(W356&gt;0,W356,1),0)</f>
        <v/>
      </c>
      <c r="U356" s="245">
        <f>M356</f>
        <v/>
      </c>
      <c r="V356" s="243">
        <f>N356</f>
        <v/>
      </c>
      <c r="W356" s="245">
        <f>O356</f>
        <v/>
      </c>
      <c r="X356" s="243">
        <f>P356</f>
        <v/>
      </c>
      <c r="Y356" s="246">
        <f>Q356</f>
        <v/>
      </c>
      <c r="Z356" s="247">
        <f>R356</f>
        <v/>
      </c>
      <c r="AA356" s="243" t="n"/>
      <c r="AB356" s="254" t="n"/>
      <c r="AC356" s="254" t="n"/>
      <c r="AD356" s="254" t="n"/>
      <c r="AE356" s="254" t="n"/>
      <c r="AF356" s="254" t="n"/>
      <c r="AG356" s="255" t="n"/>
      <c r="AH356" s="256" t="n"/>
      <c r="AI356" s="253" t="n"/>
    </row>
    <row r="357" hidden="1" outlineLevel="1" s="592">
      <c r="A357" s="241">
        <f>$A347&amp;"."&amp;10</f>
        <v/>
      </c>
      <c r="B357" s="241" t="n"/>
      <c r="C357" s="255">
        <f>$C$347</f>
        <v/>
      </c>
      <c r="D357" s="243" t="n"/>
      <c r="E357" s="244">
        <f>ROUNDUP(IF(J357=0,0,J357)*IF(K357&gt;0,K357,1)*IF(F357&gt;0,F357,1)*IF(H357&gt;0,H357,1),0)</f>
        <v/>
      </c>
      <c r="F357" s="245" t="n"/>
      <c r="G357" s="243" t="n"/>
      <c r="H357" s="245" t="n"/>
      <c r="I357" s="243" t="n"/>
      <c r="J357" s="246" t="n"/>
      <c r="K357" s="247" t="n"/>
      <c r="L357" s="248">
        <f>ROUNDUP(IF(Q357=0,0,Q357)*IF(R357&gt;0,R357,1)*IF(M357&gt;0,M357,1)*IF(O357&gt;0,O357,1),0)</f>
        <v/>
      </c>
      <c r="M357" s="245">
        <f>F357</f>
        <v/>
      </c>
      <c r="N357" s="243">
        <f>G357</f>
        <v/>
      </c>
      <c r="O357" s="245">
        <f>H357</f>
        <v/>
      </c>
      <c r="P357" s="243">
        <f>I357</f>
        <v/>
      </c>
      <c r="Q357" s="246">
        <f>J357</f>
        <v/>
      </c>
      <c r="R357" s="247">
        <f>K357</f>
        <v/>
      </c>
      <c r="S357" s="243" t="n"/>
      <c r="T357" s="249">
        <f>ROUNDUP(IF(Y357=0,0,Y357)*IF(Z357&gt;0,Z357,1)*IF(U357&gt;0,U357,1)*IF(W357&gt;0,W357,1),0)</f>
        <v/>
      </c>
      <c r="U357" s="245">
        <f>M357</f>
        <v/>
      </c>
      <c r="V357" s="243">
        <f>N357</f>
        <v/>
      </c>
      <c r="W357" s="245">
        <f>O357</f>
        <v/>
      </c>
      <c r="X357" s="243">
        <f>P357</f>
        <v/>
      </c>
      <c r="Y357" s="246">
        <f>Q357</f>
        <v/>
      </c>
      <c r="Z357" s="247">
        <f>R357</f>
        <v/>
      </c>
      <c r="AA357" s="243" t="n"/>
      <c r="AB357" s="254" t="n"/>
      <c r="AC357" s="254" t="n"/>
      <c r="AD357" s="254" t="n"/>
      <c r="AE357" s="254" t="n"/>
      <c r="AF357" s="254" t="n"/>
      <c r="AG357" s="255" t="n"/>
      <c r="AH357" s="256" t="n"/>
      <c r="AI357" s="253" t="n"/>
    </row>
    <row r="358" hidden="1" outlineLevel="1" s="592">
      <c r="A358" s="241">
        <f>$A347&amp;"."&amp;11</f>
        <v/>
      </c>
      <c r="B358" s="241" t="n"/>
      <c r="C358" s="255">
        <f>$C$347</f>
        <v/>
      </c>
      <c r="D358" s="243" t="n"/>
      <c r="E358" s="244">
        <f>ROUNDUP(IF(J358=0,0,J358)*IF(K358&gt;0,K358,1)*IF(F358&gt;0,F358,1)*IF(H358&gt;0,H358,1),0)</f>
        <v/>
      </c>
      <c r="F358" s="245" t="n"/>
      <c r="G358" s="243" t="n"/>
      <c r="H358" s="245" t="n"/>
      <c r="I358" s="243" t="n"/>
      <c r="J358" s="246" t="n"/>
      <c r="K358" s="247" t="n"/>
      <c r="L358" s="248">
        <f>ROUNDUP(IF(Q358=0,0,Q358)*IF(R358&gt;0,R358,1)*IF(M358&gt;0,M358,1)*IF(O358&gt;0,O358,1),0)</f>
        <v/>
      </c>
      <c r="M358" s="245">
        <f>F358</f>
        <v/>
      </c>
      <c r="N358" s="243">
        <f>G358</f>
        <v/>
      </c>
      <c r="O358" s="245">
        <f>H358</f>
        <v/>
      </c>
      <c r="P358" s="243">
        <f>I358</f>
        <v/>
      </c>
      <c r="Q358" s="246">
        <f>J358</f>
        <v/>
      </c>
      <c r="R358" s="247">
        <f>K358</f>
        <v/>
      </c>
      <c r="S358" s="243" t="n"/>
      <c r="T358" s="249">
        <f>ROUNDUP(IF(Y358=0,0,Y358)*IF(Z358&gt;0,Z358,1)*IF(U358&gt;0,U358,1)*IF(W358&gt;0,W358,1),0)</f>
        <v/>
      </c>
      <c r="U358" s="245">
        <f>M358</f>
        <v/>
      </c>
      <c r="V358" s="243">
        <f>N358</f>
        <v/>
      </c>
      <c r="W358" s="245">
        <f>O358</f>
        <v/>
      </c>
      <c r="X358" s="243">
        <f>P358</f>
        <v/>
      </c>
      <c r="Y358" s="246">
        <f>Q358</f>
        <v/>
      </c>
      <c r="Z358" s="247">
        <f>R358</f>
        <v/>
      </c>
      <c r="AA358" s="243" t="n"/>
      <c r="AB358" s="254" t="n"/>
      <c r="AC358" s="254" t="n"/>
      <c r="AD358" s="254" t="n"/>
      <c r="AE358" s="254" t="n"/>
      <c r="AF358" s="254" t="n"/>
      <c r="AG358" s="255" t="n"/>
      <c r="AH358" s="256" t="n"/>
      <c r="AI358" s="253" t="n"/>
    </row>
    <row r="359" hidden="1" outlineLevel="1" s="592">
      <c r="A359" s="241">
        <f>$A347&amp;"."&amp;12</f>
        <v/>
      </c>
      <c r="B359" s="241" t="n"/>
      <c r="C359" s="255">
        <f>$C$347</f>
        <v/>
      </c>
      <c r="D359" s="243" t="n"/>
      <c r="E359" s="244">
        <f>ROUNDUP(IF(J359=0,0,J359)*IF(K359&gt;0,K359,1)*IF(F359&gt;0,F359,1)*IF(H359&gt;0,H359,1),0)</f>
        <v/>
      </c>
      <c r="F359" s="245" t="n"/>
      <c r="G359" s="243" t="n"/>
      <c r="H359" s="245" t="n"/>
      <c r="I359" s="243" t="n"/>
      <c r="J359" s="246" t="n"/>
      <c r="K359" s="247" t="n"/>
      <c r="L359" s="248">
        <f>ROUNDUP(IF(Q359=0,0,Q359)*IF(R359&gt;0,R359,1)*IF(M359&gt;0,M359,1)*IF(O359&gt;0,O359,1),0)</f>
        <v/>
      </c>
      <c r="M359" s="245">
        <f>F359</f>
        <v/>
      </c>
      <c r="N359" s="243">
        <f>G359</f>
        <v/>
      </c>
      <c r="O359" s="245">
        <f>H359</f>
        <v/>
      </c>
      <c r="P359" s="243">
        <f>I359</f>
        <v/>
      </c>
      <c r="Q359" s="246">
        <f>J359</f>
        <v/>
      </c>
      <c r="R359" s="247">
        <f>K359</f>
        <v/>
      </c>
      <c r="S359" s="243" t="n"/>
      <c r="T359" s="249">
        <f>ROUNDUP(IF(Y359=0,0,Y359)*IF(Z359&gt;0,Z359,1)*IF(U359&gt;0,U359,1)*IF(W359&gt;0,W359,1),0)</f>
        <v/>
      </c>
      <c r="U359" s="245">
        <f>M359</f>
        <v/>
      </c>
      <c r="V359" s="243">
        <f>N359</f>
        <v/>
      </c>
      <c r="W359" s="245">
        <f>O359</f>
        <v/>
      </c>
      <c r="X359" s="243">
        <f>P359</f>
        <v/>
      </c>
      <c r="Y359" s="246">
        <f>Q359</f>
        <v/>
      </c>
      <c r="Z359" s="247">
        <f>R359</f>
        <v/>
      </c>
      <c r="AA359" s="243" t="n"/>
      <c r="AB359" s="254" t="n"/>
      <c r="AC359" s="254" t="n"/>
      <c r="AD359" s="254" t="n"/>
      <c r="AE359" s="254" t="n"/>
      <c r="AF359" s="254" t="n"/>
      <c r="AG359" s="255" t="n"/>
      <c r="AH359" s="256" t="n"/>
      <c r="AI359" s="253" t="n"/>
    </row>
    <row r="360" hidden="1" outlineLevel="1" s="592">
      <c r="A360" s="241">
        <f>$A347&amp;"."&amp;13</f>
        <v/>
      </c>
      <c r="B360" s="241" t="n"/>
      <c r="C360" s="255">
        <f>$C$347</f>
        <v/>
      </c>
      <c r="D360" s="243" t="n"/>
      <c r="E360" s="244">
        <f>ROUNDUP(IF(J360=0,0,J360)*IF(K360&gt;0,K360,1)*IF(F360&gt;0,F360,1)*IF(H360&gt;0,H360,1),0)</f>
        <v/>
      </c>
      <c r="F360" s="245" t="n"/>
      <c r="G360" s="243" t="n"/>
      <c r="H360" s="245" t="n"/>
      <c r="I360" s="243" t="n"/>
      <c r="J360" s="246" t="n"/>
      <c r="K360" s="247" t="n"/>
      <c r="L360" s="248">
        <f>ROUNDUP(IF(Q360=0,0,Q360)*IF(R360&gt;0,R360,1)*IF(M360&gt;0,M360,1)*IF(O360&gt;0,O360,1),0)</f>
        <v/>
      </c>
      <c r="M360" s="245">
        <f>F360</f>
        <v/>
      </c>
      <c r="N360" s="243">
        <f>G360</f>
        <v/>
      </c>
      <c r="O360" s="245">
        <f>H360</f>
        <v/>
      </c>
      <c r="P360" s="243">
        <f>I360</f>
        <v/>
      </c>
      <c r="Q360" s="246">
        <f>J360</f>
        <v/>
      </c>
      <c r="R360" s="247">
        <f>K360</f>
        <v/>
      </c>
      <c r="S360" s="243" t="n"/>
      <c r="T360" s="249">
        <f>ROUNDUP(IF(Y360=0,0,Y360)*IF(Z360&gt;0,Z360,1)*IF(U360&gt;0,U360,1)*IF(W360&gt;0,W360,1),0)</f>
        <v/>
      </c>
      <c r="U360" s="245">
        <f>M360</f>
        <v/>
      </c>
      <c r="V360" s="243">
        <f>N360</f>
        <v/>
      </c>
      <c r="W360" s="245">
        <f>O360</f>
        <v/>
      </c>
      <c r="X360" s="243">
        <f>P360</f>
        <v/>
      </c>
      <c r="Y360" s="246">
        <f>Q360</f>
        <v/>
      </c>
      <c r="Z360" s="247">
        <f>R360</f>
        <v/>
      </c>
      <c r="AA360" s="243" t="n"/>
      <c r="AB360" s="254" t="n"/>
      <c r="AC360" s="254" t="n"/>
      <c r="AD360" s="254" t="n"/>
      <c r="AE360" s="254" t="n"/>
      <c r="AF360" s="254" t="n"/>
      <c r="AG360" s="255" t="n"/>
      <c r="AH360" s="256" t="n"/>
      <c r="AI360" s="253" t="n"/>
    </row>
    <row r="361" hidden="1" outlineLevel="1" s="592">
      <c r="A361" s="241">
        <f>$A347&amp;"."&amp;14</f>
        <v/>
      </c>
      <c r="B361" s="241" t="n"/>
      <c r="C361" s="255">
        <f>$C$347</f>
        <v/>
      </c>
      <c r="D361" s="243" t="n"/>
      <c r="E361" s="244">
        <f>ROUNDUP(IF(J361=0,0,J361)*IF(K361&gt;0,K361,1)*IF(F361&gt;0,F361,1)*IF(H361&gt;0,H361,1),0)</f>
        <v/>
      </c>
      <c r="F361" s="245" t="n"/>
      <c r="G361" s="243" t="n"/>
      <c r="H361" s="245" t="n"/>
      <c r="I361" s="243" t="n"/>
      <c r="J361" s="246" t="n"/>
      <c r="K361" s="247" t="n"/>
      <c r="L361" s="248">
        <f>ROUNDUP(IF(Q361=0,0,Q361)*IF(R361&gt;0,R361,1)*IF(M361&gt;0,M361,1)*IF(O361&gt;0,O361,1),0)</f>
        <v/>
      </c>
      <c r="M361" s="245">
        <f>F361</f>
        <v/>
      </c>
      <c r="N361" s="243">
        <f>G361</f>
        <v/>
      </c>
      <c r="O361" s="245">
        <f>H361</f>
        <v/>
      </c>
      <c r="P361" s="243">
        <f>I361</f>
        <v/>
      </c>
      <c r="Q361" s="246">
        <f>J361</f>
        <v/>
      </c>
      <c r="R361" s="247">
        <f>K361</f>
        <v/>
      </c>
      <c r="S361" s="243" t="n"/>
      <c r="T361" s="249">
        <f>ROUNDUP(IF(Y361=0,0,Y361)*IF(Z361&gt;0,Z361,1)*IF(U361&gt;0,U361,1)*IF(W361&gt;0,W361,1),0)</f>
        <v/>
      </c>
      <c r="U361" s="245">
        <f>M361</f>
        <v/>
      </c>
      <c r="V361" s="243">
        <f>N361</f>
        <v/>
      </c>
      <c r="W361" s="245">
        <f>O361</f>
        <v/>
      </c>
      <c r="X361" s="243">
        <f>P361</f>
        <v/>
      </c>
      <c r="Y361" s="246">
        <f>Q361</f>
        <v/>
      </c>
      <c r="Z361" s="247">
        <f>R361</f>
        <v/>
      </c>
      <c r="AA361" s="243" t="n"/>
      <c r="AB361" s="254" t="n"/>
      <c r="AC361" s="254" t="n"/>
      <c r="AD361" s="254" t="n"/>
      <c r="AE361" s="254" t="n"/>
      <c r="AF361" s="254" t="n"/>
      <c r="AG361" s="255" t="n"/>
      <c r="AH361" s="256" t="n"/>
      <c r="AI361" s="253" t="n"/>
    </row>
    <row r="362" hidden="1" outlineLevel="1" s="592">
      <c r="A362" s="241">
        <f>$A347&amp;"."&amp;15</f>
        <v/>
      </c>
      <c r="B362" s="241" t="n"/>
      <c r="C362" s="255">
        <f>$C$347</f>
        <v/>
      </c>
      <c r="D362" s="243" t="n"/>
      <c r="E362" s="244">
        <f>ROUNDUP(IF(J362=0,0,J362)*IF(K362&gt;0,K362,1)*IF(F362&gt;0,F362,1)*IF(H362&gt;0,H362,1),0)</f>
        <v/>
      </c>
      <c r="F362" s="245" t="n"/>
      <c r="G362" s="243" t="n"/>
      <c r="H362" s="245" t="n"/>
      <c r="I362" s="243" t="n"/>
      <c r="J362" s="246" t="n"/>
      <c r="K362" s="247" t="n"/>
      <c r="L362" s="248">
        <f>ROUNDUP(IF(Q362=0,0,Q362)*IF(R362&gt;0,R362,1)*IF(M362&gt;0,M362,1)*IF(O362&gt;0,O362,1),0)</f>
        <v/>
      </c>
      <c r="M362" s="245">
        <f>F362</f>
        <v/>
      </c>
      <c r="N362" s="243">
        <f>G362</f>
        <v/>
      </c>
      <c r="O362" s="245">
        <f>H362</f>
        <v/>
      </c>
      <c r="P362" s="243">
        <f>I362</f>
        <v/>
      </c>
      <c r="Q362" s="246">
        <f>J362</f>
        <v/>
      </c>
      <c r="R362" s="247">
        <f>K362</f>
        <v/>
      </c>
      <c r="S362" s="243" t="n"/>
      <c r="T362" s="249">
        <f>ROUNDUP(IF(Y362=0,0,Y362)*IF(Z362&gt;0,Z362,1)*IF(U362&gt;0,U362,1)*IF(W362&gt;0,W362,1),0)</f>
        <v/>
      </c>
      <c r="U362" s="245">
        <f>M362</f>
        <v/>
      </c>
      <c r="V362" s="243">
        <f>N362</f>
        <v/>
      </c>
      <c r="W362" s="245">
        <f>O362</f>
        <v/>
      </c>
      <c r="X362" s="243">
        <f>P362</f>
        <v/>
      </c>
      <c r="Y362" s="246">
        <f>Q362</f>
        <v/>
      </c>
      <c r="Z362" s="247">
        <f>R362</f>
        <v/>
      </c>
      <c r="AA362" s="243" t="n"/>
      <c r="AB362" s="254" t="n"/>
      <c r="AC362" s="254" t="n"/>
      <c r="AD362" s="254" t="n"/>
      <c r="AE362" s="254" t="n"/>
      <c r="AF362" s="254" t="n"/>
      <c r="AG362" s="255" t="n"/>
      <c r="AH362" s="256" t="n"/>
      <c r="AI362" s="253" t="n"/>
    </row>
    <row r="363" hidden="1" outlineLevel="1" s="592">
      <c r="A363" s="241">
        <f>$A347&amp;"."&amp;16</f>
        <v/>
      </c>
      <c r="B363" s="241" t="n"/>
      <c r="C363" s="255">
        <f>$C$347</f>
        <v/>
      </c>
      <c r="D363" s="243" t="n"/>
      <c r="E363" s="244">
        <f>ROUNDUP(IF(J363=0,0,J363)*IF(K363&gt;0,K363,1)*IF(F363&gt;0,F363,1)*IF(H363&gt;0,H363,1),0)</f>
        <v/>
      </c>
      <c r="F363" s="245" t="n"/>
      <c r="G363" s="243" t="n"/>
      <c r="H363" s="245" t="n"/>
      <c r="I363" s="243" t="n"/>
      <c r="J363" s="246" t="n"/>
      <c r="K363" s="247" t="n"/>
      <c r="L363" s="248">
        <f>ROUNDUP(IF(Q363=0,0,Q363)*IF(R363&gt;0,R363,1)*IF(M363&gt;0,M363,1)*IF(O363&gt;0,O363,1),0)</f>
        <v/>
      </c>
      <c r="M363" s="245">
        <f>F363</f>
        <v/>
      </c>
      <c r="N363" s="243">
        <f>G363</f>
        <v/>
      </c>
      <c r="O363" s="245">
        <f>H363</f>
        <v/>
      </c>
      <c r="P363" s="243">
        <f>I363</f>
        <v/>
      </c>
      <c r="Q363" s="246">
        <f>J363</f>
        <v/>
      </c>
      <c r="R363" s="247">
        <f>K363</f>
        <v/>
      </c>
      <c r="S363" s="243" t="n"/>
      <c r="T363" s="249">
        <f>ROUNDUP(IF(Y363=0,0,Y363)*IF(Z363&gt;0,Z363,1)*IF(U363&gt;0,U363,1)*IF(W363&gt;0,W363,1),0)</f>
        <v/>
      </c>
      <c r="U363" s="245">
        <f>M363</f>
        <v/>
      </c>
      <c r="V363" s="243">
        <f>N363</f>
        <v/>
      </c>
      <c r="W363" s="245">
        <f>O363</f>
        <v/>
      </c>
      <c r="X363" s="243">
        <f>P363</f>
        <v/>
      </c>
      <c r="Y363" s="246">
        <f>Q363</f>
        <v/>
      </c>
      <c r="Z363" s="247">
        <f>R363</f>
        <v/>
      </c>
      <c r="AA363" s="243" t="n"/>
      <c r="AB363" s="254" t="n"/>
      <c r="AC363" s="254" t="n"/>
      <c r="AD363" s="254" t="n"/>
      <c r="AE363" s="254" t="n"/>
      <c r="AF363" s="254" t="n"/>
      <c r="AG363" s="255" t="n"/>
      <c r="AH363" s="256" t="n"/>
      <c r="AI363" s="253" t="n"/>
    </row>
    <row r="364" hidden="1" outlineLevel="1" s="592">
      <c r="A364" s="241">
        <f>$A347&amp;"."&amp;17</f>
        <v/>
      </c>
      <c r="B364" s="241" t="n"/>
      <c r="C364" s="255">
        <f>$C$347</f>
        <v/>
      </c>
      <c r="D364" s="243" t="n"/>
      <c r="E364" s="244">
        <f>ROUNDUP(IF(J364=0,0,J364)*IF(K364&gt;0,K364,1)*IF(F364&gt;0,F364,1)*IF(H364&gt;0,H364,1),0)</f>
        <v/>
      </c>
      <c r="F364" s="245" t="n"/>
      <c r="G364" s="243" t="n"/>
      <c r="H364" s="245" t="n"/>
      <c r="I364" s="243" t="n"/>
      <c r="J364" s="246" t="n"/>
      <c r="K364" s="247" t="n"/>
      <c r="L364" s="248">
        <f>ROUNDUP(IF(Q364=0,0,Q364)*IF(R364&gt;0,R364,1)*IF(M364&gt;0,M364,1)*IF(O364&gt;0,O364,1),0)</f>
        <v/>
      </c>
      <c r="M364" s="245">
        <f>F364</f>
        <v/>
      </c>
      <c r="N364" s="243">
        <f>G364</f>
        <v/>
      </c>
      <c r="O364" s="245">
        <f>H364</f>
        <v/>
      </c>
      <c r="P364" s="243">
        <f>I364</f>
        <v/>
      </c>
      <c r="Q364" s="246">
        <f>J364</f>
        <v/>
      </c>
      <c r="R364" s="247">
        <f>K364</f>
        <v/>
      </c>
      <c r="S364" s="243" t="n"/>
      <c r="T364" s="249">
        <f>ROUNDUP(IF(Y364=0,0,Y364)*IF(Z364&gt;0,Z364,1)*IF(U364&gt;0,U364,1)*IF(W364&gt;0,W364,1),0)</f>
        <v/>
      </c>
      <c r="U364" s="245">
        <f>M364</f>
        <v/>
      </c>
      <c r="V364" s="243">
        <f>N364</f>
        <v/>
      </c>
      <c r="W364" s="245">
        <f>O364</f>
        <v/>
      </c>
      <c r="X364" s="243">
        <f>P364</f>
        <v/>
      </c>
      <c r="Y364" s="246">
        <f>Q364</f>
        <v/>
      </c>
      <c r="Z364" s="247">
        <f>R364</f>
        <v/>
      </c>
      <c r="AA364" s="243" t="n"/>
      <c r="AB364" s="254" t="n"/>
      <c r="AC364" s="254" t="n"/>
      <c r="AD364" s="254" t="n"/>
      <c r="AE364" s="254" t="n"/>
      <c r="AF364" s="254" t="n"/>
      <c r="AG364" s="255" t="n"/>
      <c r="AH364" s="256" t="n"/>
      <c r="AI364" s="253" t="n"/>
    </row>
    <row r="365" hidden="1" outlineLevel="1" s="592">
      <c r="A365" s="241">
        <f>$A347&amp;"."&amp;18</f>
        <v/>
      </c>
      <c r="B365" s="241" t="n"/>
      <c r="C365" s="255">
        <f>$C$347</f>
        <v/>
      </c>
      <c r="D365" s="243" t="n"/>
      <c r="E365" s="244">
        <f>ROUNDUP(IF(J365=0,0,J365)*IF(K365&gt;0,K365,1)*IF(F365&gt;0,F365,1)*IF(H365&gt;0,H365,1),0)</f>
        <v/>
      </c>
      <c r="F365" s="245" t="n"/>
      <c r="G365" s="243" t="n"/>
      <c r="H365" s="245" t="n"/>
      <c r="I365" s="243" t="n"/>
      <c r="J365" s="246" t="n"/>
      <c r="K365" s="247" t="n"/>
      <c r="L365" s="248">
        <f>ROUNDUP(IF(Q365=0,0,Q365)*IF(R365&gt;0,R365,1)*IF(M365&gt;0,M365,1)*IF(O365&gt;0,O365,1),0)</f>
        <v/>
      </c>
      <c r="M365" s="245">
        <f>F365</f>
        <v/>
      </c>
      <c r="N365" s="243">
        <f>G365</f>
        <v/>
      </c>
      <c r="O365" s="245">
        <f>H365</f>
        <v/>
      </c>
      <c r="P365" s="243">
        <f>I365</f>
        <v/>
      </c>
      <c r="Q365" s="246">
        <f>J365</f>
        <v/>
      </c>
      <c r="R365" s="247">
        <f>K365</f>
        <v/>
      </c>
      <c r="S365" s="243" t="n"/>
      <c r="T365" s="249">
        <f>ROUNDUP(IF(Y365=0,0,Y365)*IF(Z365&gt;0,Z365,1)*IF(U365&gt;0,U365,1)*IF(W365&gt;0,W365,1),0)</f>
        <v/>
      </c>
      <c r="U365" s="245">
        <f>M365</f>
        <v/>
      </c>
      <c r="V365" s="243">
        <f>N365</f>
        <v/>
      </c>
      <c r="W365" s="245">
        <f>O365</f>
        <v/>
      </c>
      <c r="X365" s="243">
        <f>P365</f>
        <v/>
      </c>
      <c r="Y365" s="246">
        <f>Q365</f>
        <v/>
      </c>
      <c r="Z365" s="247">
        <f>R365</f>
        <v/>
      </c>
      <c r="AA365" s="243" t="n"/>
      <c r="AB365" s="254" t="n"/>
      <c r="AC365" s="254" t="n"/>
      <c r="AD365" s="254" t="n"/>
      <c r="AE365" s="254" t="n"/>
      <c r="AF365" s="254" t="n"/>
      <c r="AG365" s="255" t="n"/>
      <c r="AH365" s="256" t="n"/>
      <c r="AI365" s="253" t="n"/>
    </row>
    <row r="366" hidden="1" outlineLevel="1" s="592">
      <c r="A366" s="241">
        <f>$A347&amp;"."&amp;19</f>
        <v/>
      </c>
      <c r="B366" s="241" t="n"/>
      <c r="C366" s="255">
        <f>$C$347</f>
        <v/>
      </c>
      <c r="D366" s="243" t="n"/>
      <c r="E366" s="244">
        <f>ROUNDUP(IF(J366=0,0,J366)*IF(K366&gt;0,K366,1)*IF(F366&gt;0,F366,1)*IF(H366&gt;0,H366,1),0)</f>
        <v/>
      </c>
      <c r="F366" s="245" t="n"/>
      <c r="G366" s="243" t="n"/>
      <c r="H366" s="245" t="n"/>
      <c r="I366" s="243" t="n"/>
      <c r="J366" s="246" t="n"/>
      <c r="K366" s="247" t="n"/>
      <c r="L366" s="248">
        <f>ROUNDUP(IF(Q366=0,0,Q366)*IF(R366&gt;0,R366,1)*IF(M366&gt;0,M366,1)*IF(O366&gt;0,O366,1),0)</f>
        <v/>
      </c>
      <c r="M366" s="245">
        <f>F366</f>
        <v/>
      </c>
      <c r="N366" s="243">
        <f>G366</f>
        <v/>
      </c>
      <c r="O366" s="245">
        <f>H366</f>
        <v/>
      </c>
      <c r="P366" s="243">
        <f>I366</f>
        <v/>
      </c>
      <c r="Q366" s="246">
        <f>J366</f>
        <v/>
      </c>
      <c r="R366" s="247">
        <f>K366</f>
        <v/>
      </c>
      <c r="S366" s="243" t="n"/>
      <c r="T366" s="249">
        <f>ROUNDUP(IF(Y366=0,0,Y366)*IF(Z366&gt;0,Z366,1)*IF(U366&gt;0,U366,1)*IF(W366&gt;0,W366,1),0)</f>
        <v/>
      </c>
      <c r="U366" s="245">
        <f>M366</f>
        <v/>
      </c>
      <c r="V366" s="243">
        <f>N366</f>
        <v/>
      </c>
      <c r="W366" s="245">
        <f>O366</f>
        <v/>
      </c>
      <c r="X366" s="243">
        <f>P366</f>
        <v/>
      </c>
      <c r="Y366" s="246">
        <f>Q366</f>
        <v/>
      </c>
      <c r="Z366" s="247">
        <f>R366</f>
        <v/>
      </c>
      <c r="AA366" s="243" t="n"/>
      <c r="AB366" s="254" t="n"/>
      <c r="AC366" s="254" t="n"/>
      <c r="AD366" s="254" t="n"/>
      <c r="AE366" s="254" t="n"/>
      <c r="AF366" s="254" t="n"/>
      <c r="AG366" s="255" t="n"/>
      <c r="AH366" s="256" t="n"/>
      <c r="AI366" s="253" t="n"/>
    </row>
    <row r="367" hidden="1" outlineLevel="1" s="592">
      <c r="A367" s="241">
        <f>$A347&amp;"."&amp;20</f>
        <v/>
      </c>
      <c r="B367" s="241" t="n"/>
      <c r="C367" s="255">
        <f>$C$347</f>
        <v/>
      </c>
      <c r="D367" s="243" t="n"/>
      <c r="E367" s="244">
        <f>ROUNDUP(IF(J367=0,0,J367)*IF(K367&gt;0,K367,1)*IF(F367&gt;0,F367,1)*IF(H367&gt;0,H367,1),0)</f>
        <v/>
      </c>
      <c r="F367" s="245" t="n"/>
      <c r="G367" s="243" t="n"/>
      <c r="H367" s="245" t="n"/>
      <c r="I367" s="243" t="n"/>
      <c r="J367" s="246" t="n"/>
      <c r="K367" s="247" t="n"/>
      <c r="L367" s="248">
        <f>ROUNDUP(IF(Q367=0,0,Q367)*IF(R367&gt;0,R367,1)*IF(M367&gt;0,M367,1)*IF(O367&gt;0,O367,1),0)</f>
        <v/>
      </c>
      <c r="M367" s="245">
        <f>F367</f>
        <v/>
      </c>
      <c r="N367" s="243">
        <f>G367</f>
        <v/>
      </c>
      <c r="O367" s="245">
        <f>H367</f>
        <v/>
      </c>
      <c r="P367" s="243">
        <f>I367</f>
        <v/>
      </c>
      <c r="Q367" s="246">
        <f>J367</f>
        <v/>
      </c>
      <c r="R367" s="247">
        <f>K367</f>
        <v/>
      </c>
      <c r="S367" s="243" t="n"/>
      <c r="T367" s="249">
        <f>ROUNDUP(IF(Y367=0,0,Y367)*IF(Z367&gt;0,Z367,1)*IF(U367&gt;0,U367,1)*IF(W367&gt;0,W367,1),0)</f>
        <v/>
      </c>
      <c r="U367" s="245">
        <f>M367</f>
        <v/>
      </c>
      <c r="V367" s="243">
        <f>N367</f>
        <v/>
      </c>
      <c r="W367" s="245">
        <f>O367</f>
        <v/>
      </c>
      <c r="X367" s="243">
        <f>P367</f>
        <v/>
      </c>
      <c r="Y367" s="246">
        <f>Q367</f>
        <v/>
      </c>
      <c r="Z367" s="247">
        <f>R367</f>
        <v/>
      </c>
      <c r="AA367" s="243" t="n"/>
      <c r="AB367" s="254" t="n"/>
      <c r="AC367" s="254" t="n"/>
      <c r="AD367" s="254" t="n"/>
      <c r="AE367" s="254" t="n"/>
      <c r="AF367" s="254" t="n"/>
      <c r="AG367" s="255" t="n"/>
      <c r="AH367" s="256" t="n"/>
      <c r="AI367" s="253" t="n"/>
    </row>
    <row r="368" collapsed="1" s="592">
      <c r="A368" s="257" t="n">
        <v>18</v>
      </c>
      <c r="B368" s="257">
        <f>IFERROR(__xludf.DUMMYFUNCTION("vlookup(C368,IMPORTRANGE(REF!$B$3,""FP!B:C""),2,0)"),"#N/A")</f>
        <v/>
      </c>
      <c r="C368" s="237" t="inlineStr">
        <is>
          <t>ชื่อกิจกรรมที่ 18</t>
        </is>
      </c>
      <c r="D368" s="232" t="n"/>
      <c r="E368" s="233">
        <f>SUM(E369:E388)</f>
        <v/>
      </c>
      <c r="F368" s="234" t="n"/>
      <c r="G368" s="235" t="n"/>
      <c r="H368" s="234" t="n"/>
      <c r="I368" s="235" t="n"/>
      <c r="J368" s="233" t="n"/>
      <c r="K368" s="236" t="n"/>
      <c r="L368" s="233">
        <f>SUM(L369:L388)</f>
        <v/>
      </c>
      <c r="M368" s="234" t="n"/>
      <c r="N368" s="235" t="n"/>
      <c r="O368" s="234" t="n"/>
      <c r="P368" s="235" t="n"/>
      <c r="Q368" s="233" t="n"/>
      <c r="R368" s="236" t="n"/>
      <c r="S368" s="235" t="n"/>
      <c r="T368" s="233">
        <f>SUM(T369:T388)</f>
        <v/>
      </c>
      <c r="U368" s="234" t="n"/>
      <c r="V368" s="235" t="n"/>
      <c r="W368" s="234" t="n"/>
      <c r="X368" s="235" t="n"/>
      <c r="Y368" s="233" t="n"/>
      <c r="Z368" s="236" t="n"/>
      <c r="AA368" s="235" t="n"/>
      <c r="AB368" s="237" t="n"/>
      <c r="AC368" s="237" t="n"/>
      <c r="AD368" s="237" t="n"/>
      <c r="AE368" s="237" t="n"/>
      <c r="AF368" s="237" t="n"/>
      <c r="AG368" s="238" t="b">
        <v>0</v>
      </c>
      <c r="AH368" s="239" t="n"/>
      <c r="AI368" s="253" t="n"/>
    </row>
    <row r="369" hidden="1" outlineLevel="1" s="592">
      <c r="A369" s="241">
        <f>$A368&amp;"."&amp;1</f>
        <v/>
      </c>
      <c r="B369" s="241" t="n"/>
      <c r="C369" s="255">
        <f>$C$368</f>
        <v/>
      </c>
      <c r="D369" s="243" t="n"/>
      <c r="E369" s="244">
        <f>ROUNDUP(IF(J369=0,0,J369)*IF(K369&gt;0,K369,1)*IF(F369&gt;0,F369,1)*IF(H369&gt;0,H369,1),0)</f>
        <v/>
      </c>
      <c r="F369" s="245" t="n"/>
      <c r="G369" s="243" t="n"/>
      <c r="H369" s="245" t="n"/>
      <c r="I369" s="243" t="n"/>
      <c r="J369" s="246" t="n"/>
      <c r="K369" s="247" t="n"/>
      <c r="L369" s="248">
        <f>ROUNDUP(IF(Q369=0,0,Q369)*IF(R369&gt;0,R369,1)*IF(M369&gt;0,M369,1)*IF(O369&gt;0,O369,1),0)</f>
        <v/>
      </c>
      <c r="M369" s="245">
        <f>F369</f>
        <v/>
      </c>
      <c r="N369" s="243">
        <f>G369</f>
        <v/>
      </c>
      <c r="O369" s="245">
        <f>H369</f>
        <v/>
      </c>
      <c r="P369" s="243">
        <f>I369</f>
        <v/>
      </c>
      <c r="Q369" s="246">
        <f>J369</f>
        <v/>
      </c>
      <c r="R369" s="247">
        <f>K369</f>
        <v/>
      </c>
      <c r="S369" s="243" t="n"/>
      <c r="T369" s="249">
        <f>ROUNDUP(IF(Y369=0,0,Y369)*IF(Z369&gt;0,Z369,1)*IF(U369&gt;0,U369,1)*IF(W369&gt;0,W369,1),0)</f>
        <v/>
      </c>
      <c r="U369" s="245">
        <f>M369</f>
        <v/>
      </c>
      <c r="V369" s="243">
        <f>N369</f>
        <v/>
      </c>
      <c r="W369" s="245">
        <f>O369</f>
        <v/>
      </c>
      <c r="X369" s="243">
        <f>P369</f>
        <v/>
      </c>
      <c r="Y369" s="246">
        <f>Q369</f>
        <v/>
      </c>
      <c r="Z369" s="247">
        <f>R369</f>
        <v/>
      </c>
      <c r="AA369" s="243" t="n"/>
      <c r="AB369" s="254" t="n"/>
      <c r="AC369" s="254" t="n"/>
      <c r="AD369" s="254" t="n"/>
      <c r="AE369" s="254" t="n"/>
      <c r="AF369" s="254" t="n"/>
      <c r="AG369" s="255" t="n"/>
      <c r="AH369" s="256" t="n"/>
      <c r="AI369" s="253" t="n"/>
    </row>
    <row r="370" hidden="1" outlineLevel="1" s="592">
      <c r="A370" s="241">
        <f>$A368&amp;"."&amp;2</f>
        <v/>
      </c>
      <c r="B370" s="241" t="n"/>
      <c r="C370" s="255">
        <f>$C$368</f>
        <v/>
      </c>
      <c r="D370" s="243" t="n"/>
      <c r="E370" s="244">
        <f>ROUNDUP(IF(J370=0,0,J370)*IF(K370&gt;0,K370,1)*IF(F370&gt;0,F370,1)*IF(H370&gt;0,H370,1),0)</f>
        <v/>
      </c>
      <c r="F370" s="245" t="n"/>
      <c r="G370" s="243" t="n"/>
      <c r="H370" s="245" t="n"/>
      <c r="I370" s="243" t="n"/>
      <c r="J370" s="246" t="n"/>
      <c r="K370" s="247" t="n"/>
      <c r="L370" s="248">
        <f>ROUNDUP(IF(Q370=0,0,Q370)*IF(R370&gt;0,R370,1)*IF(M370&gt;0,M370,1)*IF(O370&gt;0,O370,1),0)</f>
        <v/>
      </c>
      <c r="M370" s="245">
        <f>F370</f>
        <v/>
      </c>
      <c r="N370" s="243">
        <f>G370</f>
        <v/>
      </c>
      <c r="O370" s="245">
        <f>H370</f>
        <v/>
      </c>
      <c r="P370" s="243">
        <f>I370</f>
        <v/>
      </c>
      <c r="Q370" s="246">
        <f>J370</f>
        <v/>
      </c>
      <c r="R370" s="247">
        <f>K370</f>
        <v/>
      </c>
      <c r="S370" s="243" t="n"/>
      <c r="T370" s="249">
        <f>ROUNDUP(IF(Y370=0,0,Y370)*IF(Z370&gt;0,Z370,1)*IF(U370&gt;0,U370,1)*IF(W370&gt;0,W370,1),0)</f>
        <v/>
      </c>
      <c r="U370" s="245">
        <f>M370</f>
        <v/>
      </c>
      <c r="V370" s="243">
        <f>N370</f>
        <v/>
      </c>
      <c r="W370" s="245">
        <f>O370</f>
        <v/>
      </c>
      <c r="X370" s="243">
        <f>P370</f>
        <v/>
      </c>
      <c r="Y370" s="246">
        <f>Q370</f>
        <v/>
      </c>
      <c r="Z370" s="247">
        <f>R370</f>
        <v/>
      </c>
      <c r="AA370" s="243" t="n"/>
      <c r="AB370" s="254" t="n"/>
      <c r="AC370" s="254" t="n"/>
      <c r="AD370" s="254" t="n"/>
      <c r="AE370" s="254" t="n"/>
      <c r="AF370" s="254" t="n"/>
      <c r="AG370" s="255" t="n"/>
      <c r="AH370" s="256" t="n"/>
      <c r="AI370" s="253" t="n"/>
    </row>
    <row r="371" hidden="1" outlineLevel="1" s="592">
      <c r="A371" s="241">
        <f>$A368&amp;"."&amp;3</f>
        <v/>
      </c>
      <c r="B371" s="241" t="n"/>
      <c r="C371" s="255">
        <f>$C$368</f>
        <v/>
      </c>
      <c r="D371" s="243" t="n"/>
      <c r="E371" s="244">
        <f>ROUNDUP(IF(J371=0,0,J371)*IF(K371&gt;0,K371,1)*IF(F371&gt;0,F371,1)*IF(H371&gt;0,H371,1),0)</f>
        <v/>
      </c>
      <c r="F371" s="245" t="n"/>
      <c r="G371" s="243" t="n"/>
      <c r="H371" s="245" t="n"/>
      <c r="I371" s="243" t="n"/>
      <c r="J371" s="246" t="n"/>
      <c r="K371" s="247" t="n"/>
      <c r="L371" s="248">
        <f>ROUNDUP(IF(Q371=0,0,Q371)*IF(R371&gt;0,R371,1)*IF(M371&gt;0,M371,1)*IF(O371&gt;0,O371,1),0)</f>
        <v/>
      </c>
      <c r="M371" s="245">
        <f>F371</f>
        <v/>
      </c>
      <c r="N371" s="243">
        <f>G371</f>
        <v/>
      </c>
      <c r="O371" s="245">
        <f>H371</f>
        <v/>
      </c>
      <c r="P371" s="243">
        <f>I371</f>
        <v/>
      </c>
      <c r="Q371" s="246">
        <f>J371</f>
        <v/>
      </c>
      <c r="R371" s="247">
        <f>K371</f>
        <v/>
      </c>
      <c r="S371" s="243" t="n"/>
      <c r="T371" s="249">
        <f>ROUNDUP(IF(Y371=0,0,Y371)*IF(Z371&gt;0,Z371,1)*IF(U371&gt;0,U371,1)*IF(W371&gt;0,W371,1),0)</f>
        <v/>
      </c>
      <c r="U371" s="245">
        <f>M371</f>
        <v/>
      </c>
      <c r="V371" s="243">
        <f>N371</f>
        <v/>
      </c>
      <c r="W371" s="245">
        <f>O371</f>
        <v/>
      </c>
      <c r="X371" s="243">
        <f>P371</f>
        <v/>
      </c>
      <c r="Y371" s="246">
        <f>Q371</f>
        <v/>
      </c>
      <c r="Z371" s="247">
        <f>R371</f>
        <v/>
      </c>
      <c r="AA371" s="243" t="n"/>
      <c r="AB371" s="254" t="n"/>
      <c r="AC371" s="254" t="n"/>
      <c r="AD371" s="254" t="n"/>
      <c r="AE371" s="254" t="n"/>
      <c r="AF371" s="254" t="n"/>
      <c r="AG371" s="255" t="n"/>
      <c r="AH371" s="256" t="n"/>
      <c r="AI371" s="253" t="n"/>
    </row>
    <row r="372" hidden="1" outlineLevel="1" s="592">
      <c r="A372" s="241">
        <f>$A368&amp;"."&amp;4</f>
        <v/>
      </c>
      <c r="B372" s="241" t="n"/>
      <c r="C372" s="255">
        <f>$C$368</f>
        <v/>
      </c>
      <c r="D372" s="243" t="n"/>
      <c r="E372" s="244">
        <f>ROUNDUP(IF(J372=0,0,J372)*IF(K372&gt;0,K372,1)*IF(F372&gt;0,F372,1)*IF(H372&gt;0,H372,1),0)</f>
        <v/>
      </c>
      <c r="F372" s="245" t="n"/>
      <c r="G372" s="243" t="n"/>
      <c r="H372" s="245" t="n"/>
      <c r="I372" s="243" t="n"/>
      <c r="J372" s="246" t="n"/>
      <c r="K372" s="247" t="n"/>
      <c r="L372" s="248">
        <f>ROUNDUP(IF(Q372=0,0,Q372)*IF(R372&gt;0,R372,1)*IF(M372&gt;0,M372,1)*IF(O372&gt;0,O372,1),0)</f>
        <v/>
      </c>
      <c r="M372" s="245">
        <f>F372</f>
        <v/>
      </c>
      <c r="N372" s="243">
        <f>G372</f>
        <v/>
      </c>
      <c r="O372" s="245">
        <f>H372</f>
        <v/>
      </c>
      <c r="P372" s="243">
        <f>I372</f>
        <v/>
      </c>
      <c r="Q372" s="246">
        <f>J372</f>
        <v/>
      </c>
      <c r="R372" s="247">
        <f>K372</f>
        <v/>
      </c>
      <c r="S372" s="243" t="n"/>
      <c r="T372" s="249">
        <f>ROUNDUP(IF(Y372=0,0,Y372)*IF(Z372&gt;0,Z372,1)*IF(U372&gt;0,U372,1)*IF(W372&gt;0,W372,1),0)</f>
        <v/>
      </c>
      <c r="U372" s="245">
        <f>M372</f>
        <v/>
      </c>
      <c r="V372" s="243">
        <f>N372</f>
        <v/>
      </c>
      <c r="W372" s="245">
        <f>O372</f>
        <v/>
      </c>
      <c r="X372" s="243">
        <f>P372</f>
        <v/>
      </c>
      <c r="Y372" s="246">
        <f>Q372</f>
        <v/>
      </c>
      <c r="Z372" s="247">
        <f>R372</f>
        <v/>
      </c>
      <c r="AA372" s="243" t="n"/>
      <c r="AB372" s="254" t="n"/>
      <c r="AC372" s="254" t="n"/>
      <c r="AD372" s="254" t="n"/>
      <c r="AE372" s="254" t="n"/>
      <c r="AF372" s="254" t="n"/>
      <c r="AG372" s="255" t="n"/>
      <c r="AH372" s="256" t="n"/>
      <c r="AI372" s="253" t="n"/>
    </row>
    <row r="373" hidden="1" outlineLevel="1" s="592">
      <c r="A373" s="241">
        <f>$A368&amp;"."&amp;5</f>
        <v/>
      </c>
      <c r="B373" s="241" t="n"/>
      <c r="C373" s="255">
        <f>$C$368</f>
        <v/>
      </c>
      <c r="D373" s="243" t="n"/>
      <c r="E373" s="244">
        <f>ROUNDUP(IF(J373=0,0,J373)*IF(K373&gt;0,K373,1)*IF(F373&gt;0,F373,1)*IF(H373&gt;0,H373,1),0)</f>
        <v/>
      </c>
      <c r="F373" s="245" t="n"/>
      <c r="G373" s="243" t="n"/>
      <c r="H373" s="245" t="n"/>
      <c r="I373" s="243" t="n"/>
      <c r="J373" s="246" t="n"/>
      <c r="K373" s="247" t="n"/>
      <c r="L373" s="248">
        <f>ROUNDUP(IF(Q373=0,0,Q373)*IF(R373&gt;0,R373,1)*IF(M373&gt;0,M373,1)*IF(O373&gt;0,O373,1),0)</f>
        <v/>
      </c>
      <c r="M373" s="245">
        <f>F373</f>
        <v/>
      </c>
      <c r="N373" s="243">
        <f>G373</f>
        <v/>
      </c>
      <c r="O373" s="245">
        <f>H373</f>
        <v/>
      </c>
      <c r="P373" s="243">
        <f>I373</f>
        <v/>
      </c>
      <c r="Q373" s="246">
        <f>J373</f>
        <v/>
      </c>
      <c r="R373" s="247">
        <f>K373</f>
        <v/>
      </c>
      <c r="S373" s="243" t="n"/>
      <c r="T373" s="249">
        <f>ROUNDUP(IF(Y373=0,0,Y373)*IF(Z373&gt;0,Z373,1)*IF(U373&gt;0,U373,1)*IF(W373&gt;0,W373,1),0)</f>
        <v/>
      </c>
      <c r="U373" s="245">
        <f>M373</f>
        <v/>
      </c>
      <c r="V373" s="243">
        <f>N373</f>
        <v/>
      </c>
      <c r="W373" s="245">
        <f>O373</f>
        <v/>
      </c>
      <c r="X373" s="243">
        <f>P373</f>
        <v/>
      </c>
      <c r="Y373" s="246">
        <f>Q373</f>
        <v/>
      </c>
      <c r="Z373" s="247">
        <f>R373</f>
        <v/>
      </c>
      <c r="AA373" s="243" t="n"/>
      <c r="AB373" s="254" t="n"/>
      <c r="AC373" s="254" t="n"/>
      <c r="AD373" s="254" t="n"/>
      <c r="AE373" s="254" t="n"/>
      <c r="AF373" s="254" t="n"/>
      <c r="AG373" s="255" t="n"/>
      <c r="AH373" s="256" t="n"/>
      <c r="AI373" s="253" t="n"/>
    </row>
    <row r="374" hidden="1" outlineLevel="1" s="592">
      <c r="A374" s="241">
        <f>$A368&amp;"."&amp;6</f>
        <v/>
      </c>
      <c r="B374" s="241" t="n"/>
      <c r="C374" s="255">
        <f>$C$368</f>
        <v/>
      </c>
      <c r="D374" s="243" t="n"/>
      <c r="E374" s="244">
        <f>ROUNDUP(IF(J374=0,0,J374)*IF(K374&gt;0,K374,1)*IF(F374&gt;0,F374,1)*IF(H374&gt;0,H374,1),0)</f>
        <v/>
      </c>
      <c r="F374" s="245" t="n"/>
      <c r="G374" s="243" t="n"/>
      <c r="H374" s="245" t="n"/>
      <c r="I374" s="243" t="n"/>
      <c r="J374" s="246" t="n"/>
      <c r="K374" s="247" t="n"/>
      <c r="L374" s="248">
        <f>ROUNDUP(IF(Q374=0,0,Q374)*IF(R374&gt;0,R374,1)*IF(M374&gt;0,M374,1)*IF(O374&gt;0,O374,1),0)</f>
        <v/>
      </c>
      <c r="M374" s="245">
        <f>F374</f>
        <v/>
      </c>
      <c r="N374" s="243">
        <f>G374</f>
        <v/>
      </c>
      <c r="O374" s="245">
        <f>H374</f>
        <v/>
      </c>
      <c r="P374" s="243">
        <f>I374</f>
        <v/>
      </c>
      <c r="Q374" s="246">
        <f>J374</f>
        <v/>
      </c>
      <c r="R374" s="247">
        <f>K374</f>
        <v/>
      </c>
      <c r="S374" s="243" t="n"/>
      <c r="T374" s="249">
        <f>ROUNDUP(IF(Y374=0,0,Y374)*IF(Z374&gt;0,Z374,1)*IF(U374&gt;0,U374,1)*IF(W374&gt;0,W374,1),0)</f>
        <v/>
      </c>
      <c r="U374" s="245">
        <f>M374</f>
        <v/>
      </c>
      <c r="V374" s="243">
        <f>N374</f>
        <v/>
      </c>
      <c r="W374" s="245">
        <f>O374</f>
        <v/>
      </c>
      <c r="X374" s="243">
        <f>P374</f>
        <v/>
      </c>
      <c r="Y374" s="246">
        <f>Q374</f>
        <v/>
      </c>
      <c r="Z374" s="247">
        <f>R374</f>
        <v/>
      </c>
      <c r="AA374" s="243" t="n"/>
      <c r="AB374" s="254" t="n"/>
      <c r="AC374" s="254" t="n"/>
      <c r="AD374" s="254" t="n"/>
      <c r="AE374" s="254" t="n"/>
      <c r="AF374" s="254" t="n"/>
      <c r="AG374" s="255" t="n"/>
      <c r="AH374" s="256" t="n"/>
      <c r="AI374" s="253" t="n"/>
    </row>
    <row r="375" hidden="1" outlineLevel="1" s="592">
      <c r="A375" s="241">
        <f>$A368&amp;"."&amp;7</f>
        <v/>
      </c>
      <c r="B375" s="241" t="n"/>
      <c r="C375" s="255">
        <f>$C$368</f>
        <v/>
      </c>
      <c r="D375" s="243" t="n"/>
      <c r="E375" s="244">
        <f>ROUNDUP(IF(J375=0,0,J375)*IF(K375&gt;0,K375,1)*IF(F375&gt;0,F375,1)*IF(H375&gt;0,H375,1),0)</f>
        <v/>
      </c>
      <c r="F375" s="245" t="n"/>
      <c r="G375" s="243" t="n"/>
      <c r="H375" s="245" t="n"/>
      <c r="I375" s="243" t="n"/>
      <c r="J375" s="246" t="n"/>
      <c r="K375" s="247" t="n"/>
      <c r="L375" s="248">
        <f>ROUNDUP(IF(Q375=0,0,Q375)*IF(R375&gt;0,R375,1)*IF(M375&gt;0,M375,1)*IF(O375&gt;0,O375,1),0)</f>
        <v/>
      </c>
      <c r="M375" s="245">
        <f>F375</f>
        <v/>
      </c>
      <c r="N375" s="243">
        <f>G375</f>
        <v/>
      </c>
      <c r="O375" s="245">
        <f>H375</f>
        <v/>
      </c>
      <c r="P375" s="243">
        <f>I375</f>
        <v/>
      </c>
      <c r="Q375" s="246">
        <f>J375</f>
        <v/>
      </c>
      <c r="R375" s="247">
        <f>K375</f>
        <v/>
      </c>
      <c r="S375" s="243" t="n"/>
      <c r="T375" s="249">
        <f>ROUNDUP(IF(Y375=0,0,Y375)*IF(Z375&gt;0,Z375,1)*IF(U375&gt;0,U375,1)*IF(W375&gt;0,W375,1),0)</f>
        <v/>
      </c>
      <c r="U375" s="245">
        <f>M375</f>
        <v/>
      </c>
      <c r="V375" s="243">
        <f>N375</f>
        <v/>
      </c>
      <c r="W375" s="245">
        <f>O375</f>
        <v/>
      </c>
      <c r="X375" s="243">
        <f>P375</f>
        <v/>
      </c>
      <c r="Y375" s="246">
        <f>Q375</f>
        <v/>
      </c>
      <c r="Z375" s="247">
        <f>R375</f>
        <v/>
      </c>
      <c r="AA375" s="243" t="n"/>
      <c r="AB375" s="254" t="n"/>
      <c r="AC375" s="254" t="n"/>
      <c r="AD375" s="254" t="n"/>
      <c r="AE375" s="254" t="n"/>
      <c r="AF375" s="254" t="n"/>
      <c r="AG375" s="255" t="n"/>
      <c r="AH375" s="256" t="n"/>
      <c r="AI375" s="253" t="n"/>
    </row>
    <row r="376" hidden="1" outlineLevel="1" s="592">
      <c r="A376" s="241">
        <f>$A368&amp;"."&amp;8</f>
        <v/>
      </c>
      <c r="B376" s="241" t="n"/>
      <c r="C376" s="255">
        <f>$C$368</f>
        <v/>
      </c>
      <c r="D376" s="243" t="n"/>
      <c r="E376" s="244">
        <f>ROUNDUP(IF(J376=0,0,J376)*IF(K376&gt;0,K376,1)*IF(F376&gt;0,F376,1)*IF(H376&gt;0,H376,1),0)</f>
        <v/>
      </c>
      <c r="F376" s="245" t="n"/>
      <c r="G376" s="243" t="n"/>
      <c r="H376" s="245" t="n"/>
      <c r="I376" s="243" t="n"/>
      <c r="J376" s="246" t="n"/>
      <c r="K376" s="247" t="n"/>
      <c r="L376" s="248">
        <f>ROUNDUP(IF(Q376=0,0,Q376)*IF(R376&gt;0,R376,1)*IF(M376&gt;0,M376,1)*IF(O376&gt;0,O376,1),0)</f>
        <v/>
      </c>
      <c r="M376" s="245">
        <f>F376</f>
        <v/>
      </c>
      <c r="N376" s="243">
        <f>G376</f>
        <v/>
      </c>
      <c r="O376" s="245">
        <f>H376</f>
        <v/>
      </c>
      <c r="P376" s="243">
        <f>I376</f>
        <v/>
      </c>
      <c r="Q376" s="246">
        <f>J376</f>
        <v/>
      </c>
      <c r="R376" s="247">
        <f>K376</f>
        <v/>
      </c>
      <c r="S376" s="243" t="n"/>
      <c r="T376" s="249">
        <f>ROUNDUP(IF(Y376=0,0,Y376)*IF(Z376&gt;0,Z376,1)*IF(U376&gt;0,U376,1)*IF(W376&gt;0,W376,1),0)</f>
        <v/>
      </c>
      <c r="U376" s="245">
        <f>M376</f>
        <v/>
      </c>
      <c r="V376" s="243">
        <f>N376</f>
        <v/>
      </c>
      <c r="W376" s="245">
        <f>O376</f>
        <v/>
      </c>
      <c r="X376" s="243">
        <f>P376</f>
        <v/>
      </c>
      <c r="Y376" s="246">
        <f>Q376</f>
        <v/>
      </c>
      <c r="Z376" s="247">
        <f>R376</f>
        <v/>
      </c>
      <c r="AA376" s="243" t="n"/>
      <c r="AB376" s="254" t="n"/>
      <c r="AC376" s="254" t="n"/>
      <c r="AD376" s="254" t="n"/>
      <c r="AE376" s="254" t="n"/>
      <c r="AF376" s="254" t="n"/>
      <c r="AG376" s="255" t="n"/>
      <c r="AH376" s="256" t="n"/>
      <c r="AI376" s="253" t="n"/>
    </row>
    <row r="377" hidden="1" outlineLevel="1" s="592">
      <c r="A377" s="241">
        <f>$A368&amp;"."&amp;9</f>
        <v/>
      </c>
      <c r="B377" s="241" t="n"/>
      <c r="C377" s="255">
        <f>$C$368</f>
        <v/>
      </c>
      <c r="D377" s="243" t="n"/>
      <c r="E377" s="244">
        <f>ROUNDUP(IF(J377=0,0,J377)*IF(K377&gt;0,K377,1)*IF(F377&gt;0,F377,1)*IF(H377&gt;0,H377,1),0)</f>
        <v/>
      </c>
      <c r="F377" s="245" t="n"/>
      <c r="G377" s="243" t="n"/>
      <c r="H377" s="245" t="n"/>
      <c r="I377" s="243" t="n"/>
      <c r="J377" s="246" t="n"/>
      <c r="K377" s="247" t="n"/>
      <c r="L377" s="248">
        <f>ROUNDUP(IF(Q377=0,0,Q377)*IF(R377&gt;0,R377,1)*IF(M377&gt;0,M377,1)*IF(O377&gt;0,O377,1),0)</f>
        <v/>
      </c>
      <c r="M377" s="245">
        <f>F377</f>
        <v/>
      </c>
      <c r="N377" s="243">
        <f>G377</f>
        <v/>
      </c>
      <c r="O377" s="245">
        <f>H377</f>
        <v/>
      </c>
      <c r="P377" s="243">
        <f>I377</f>
        <v/>
      </c>
      <c r="Q377" s="246">
        <f>J377</f>
        <v/>
      </c>
      <c r="R377" s="247">
        <f>K377</f>
        <v/>
      </c>
      <c r="S377" s="243" t="n"/>
      <c r="T377" s="249">
        <f>ROUNDUP(IF(Y377=0,0,Y377)*IF(Z377&gt;0,Z377,1)*IF(U377&gt;0,U377,1)*IF(W377&gt;0,W377,1),0)</f>
        <v/>
      </c>
      <c r="U377" s="245">
        <f>M377</f>
        <v/>
      </c>
      <c r="V377" s="243">
        <f>N377</f>
        <v/>
      </c>
      <c r="W377" s="245">
        <f>O377</f>
        <v/>
      </c>
      <c r="X377" s="243">
        <f>P377</f>
        <v/>
      </c>
      <c r="Y377" s="246">
        <f>Q377</f>
        <v/>
      </c>
      <c r="Z377" s="247">
        <f>R377</f>
        <v/>
      </c>
      <c r="AA377" s="243" t="n"/>
      <c r="AB377" s="254" t="n"/>
      <c r="AC377" s="254" t="n"/>
      <c r="AD377" s="254" t="n"/>
      <c r="AE377" s="254" t="n"/>
      <c r="AF377" s="254" t="n"/>
      <c r="AG377" s="255" t="n"/>
      <c r="AH377" s="256" t="n"/>
      <c r="AI377" s="253" t="n"/>
    </row>
    <row r="378" hidden="1" outlineLevel="1" s="592">
      <c r="A378" s="241">
        <f>$A368&amp;"."&amp;10</f>
        <v/>
      </c>
      <c r="B378" s="241" t="n"/>
      <c r="C378" s="255">
        <f>$C$368</f>
        <v/>
      </c>
      <c r="D378" s="243" t="n"/>
      <c r="E378" s="244">
        <f>ROUNDUP(IF(J378=0,0,J378)*IF(K378&gt;0,K378,1)*IF(F378&gt;0,F378,1)*IF(H378&gt;0,H378,1),0)</f>
        <v/>
      </c>
      <c r="F378" s="245" t="n"/>
      <c r="G378" s="243" t="n"/>
      <c r="H378" s="245" t="n"/>
      <c r="I378" s="243" t="n"/>
      <c r="J378" s="246" t="n"/>
      <c r="K378" s="247" t="n"/>
      <c r="L378" s="248">
        <f>ROUNDUP(IF(Q378=0,0,Q378)*IF(R378&gt;0,R378,1)*IF(M378&gt;0,M378,1)*IF(O378&gt;0,O378,1),0)</f>
        <v/>
      </c>
      <c r="M378" s="245">
        <f>F378</f>
        <v/>
      </c>
      <c r="N378" s="243">
        <f>G378</f>
        <v/>
      </c>
      <c r="O378" s="245">
        <f>H378</f>
        <v/>
      </c>
      <c r="P378" s="243">
        <f>I378</f>
        <v/>
      </c>
      <c r="Q378" s="246">
        <f>J378</f>
        <v/>
      </c>
      <c r="R378" s="247">
        <f>K378</f>
        <v/>
      </c>
      <c r="S378" s="243" t="n"/>
      <c r="T378" s="249">
        <f>ROUNDUP(IF(Y378=0,0,Y378)*IF(Z378&gt;0,Z378,1)*IF(U378&gt;0,U378,1)*IF(W378&gt;0,W378,1),0)</f>
        <v/>
      </c>
      <c r="U378" s="245">
        <f>M378</f>
        <v/>
      </c>
      <c r="V378" s="243">
        <f>N378</f>
        <v/>
      </c>
      <c r="W378" s="245">
        <f>O378</f>
        <v/>
      </c>
      <c r="X378" s="243">
        <f>P378</f>
        <v/>
      </c>
      <c r="Y378" s="246">
        <f>Q378</f>
        <v/>
      </c>
      <c r="Z378" s="247">
        <f>R378</f>
        <v/>
      </c>
      <c r="AA378" s="243" t="n"/>
      <c r="AB378" s="254" t="n"/>
      <c r="AC378" s="254" t="n"/>
      <c r="AD378" s="254" t="n"/>
      <c r="AE378" s="254" t="n"/>
      <c r="AF378" s="254" t="n"/>
      <c r="AG378" s="255" t="n"/>
      <c r="AH378" s="256" t="n"/>
      <c r="AI378" s="253" t="n"/>
    </row>
    <row r="379" hidden="1" outlineLevel="1" s="592">
      <c r="A379" s="241">
        <f>$A368&amp;"."&amp;11</f>
        <v/>
      </c>
      <c r="B379" s="241" t="n"/>
      <c r="C379" s="255">
        <f>$C$368</f>
        <v/>
      </c>
      <c r="D379" s="243" t="n"/>
      <c r="E379" s="244">
        <f>ROUNDUP(IF(J379=0,0,J379)*IF(K379&gt;0,K379,1)*IF(F379&gt;0,F379,1)*IF(H379&gt;0,H379,1),0)</f>
        <v/>
      </c>
      <c r="F379" s="245" t="n"/>
      <c r="G379" s="243" t="n"/>
      <c r="H379" s="245" t="n"/>
      <c r="I379" s="243" t="n"/>
      <c r="J379" s="246" t="n"/>
      <c r="K379" s="247" t="n"/>
      <c r="L379" s="248">
        <f>ROUNDUP(IF(Q379=0,0,Q379)*IF(R379&gt;0,R379,1)*IF(M379&gt;0,M379,1)*IF(O379&gt;0,O379,1),0)</f>
        <v/>
      </c>
      <c r="M379" s="245">
        <f>F379</f>
        <v/>
      </c>
      <c r="N379" s="243">
        <f>G379</f>
        <v/>
      </c>
      <c r="O379" s="245">
        <f>H379</f>
        <v/>
      </c>
      <c r="P379" s="243">
        <f>I379</f>
        <v/>
      </c>
      <c r="Q379" s="246">
        <f>J379</f>
        <v/>
      </c>
      <c r="R379" s="247">
        <f>K379</f>
        <v/>
      </c>
      <c r="S379" s="243" t="n"/>
      <c r="T379" s="249">
        <f>ROUNDUP(IF(Y379=0,0,Y379)*IF(Z379&gt;0,Z379,1)*IF(U379&gt;0,U379,1)*IF(W379&gt;0,W379,1),0)</f>
        <v/>
      </c>
      <c r="U379" s="245">
        <f>M379</f>
        <v/>
      </c>
      <c r="V379" s="243">
        <f>N379</f>
        <v/>
      </c>
      <c r="W379" s="245">
        <f>O379</f>
        <v/>
      </c>
      <c r="X379" s="243">
        <f>P379</f>
        <v/>
      </c>
      <c r="Y379" s="246">
        <f>Q379</f>
        <v/>
      </c>
      <c r="Z379" s="247">
        <f>R379</f>
        <v/>
      </c>
      <c r="AA379" s="243" t="n"/>
      <c r="AB379" s="254" t="n"/>
      <c r="AC379" s="254" t="n"/>
      <c r="AD379" s="254" t="n"/>
      <c r="AE379" s="254" t="n"/>
      <c r="AF379" s="254" t="n"/>
      <c r="AG379" s="255" t="n"/>
      <c r="AH379" s="256" t="n"/>
      <c r="AI379" s="253" t="n"/>
    </row>
    <row r="380" hidden="1" outlineLevel="1" s="592">
      <c r="A380" s="241">
        <f>$A368&amp;"."&amp;12</f>
        <v/>
      </c>
      <c r="B380" s="241" t="n"/>
      <c r="C380" s="255">
        <f>$C$368</f>
        <v/>
      </c>
      <c r="D380" s="243" t="n"/>
      <c r="E380" s="244">
        <f>ROUNDUP(IF(J380=0,0,J380)*IF(K380&gt;0,K380,1)*IF(F380&gt;0,F380,1)*IF(H380&gt;0,H380,1),0)</f>
        <v/>
      </c>
      <c r="F380" s="245" t="n"/>
      <c r="G380" s="243" t="n"/>
      <c r="H380" s="245" t="n"/>
      <c r="I380" s="243" t="n"/>
      <c r="J380" s="246" t="n"/>
      <c r="K380" s="247" t="n"/>
      <c r="L380" s="248">
        <f>ROUNDUP(IF(Q380=0,0,Q380)*IF(R380&gt;0,R380,1)*IF(M380&gt;0,M380,1)*IF(O380&gt;0,O380,1),0)</f>
        <v/>
      </c>
      <c r="M380" s="245">
        <f>F380</f>
        <v/>
      </c>
      <c r="N380" s="243">
        <f>G380</f>
        <v/>
      </c>
      <c r="O380" s="245">
        <f>H380</f>
        <v/>
      </c>
      <c r="P380" s="243">
        <f>I380</f>
        <v/>
      </c>
      <c r="Q380" s="246">
        <f>J380</f>
        <v/>
      </c>
      <c r="R380" s="247">
        <f>K380</f>
        <v/>
      </c>
      <c r="S380" s="243" t="n"/>
      <c r="T380" s="249">
        <f>ROUNDUP(IF(Y380=0,0,Y380)*IF(Z380&gt;0,Z380,1)*IF(U380&gt;0,U380,1)*IF(W380&gt;0,W380,1),0)</f>
        <v/>
      </c>
      <c r="U380" s="245">
        <f>M380</f>
        <v/>
      </c>
      <c r="V380" s="243">
        <f>N380</f>
        <v/>
      </c>
      <c r="W380" s="245">
        <f>O380</f>
        <v/>
      </c>
      <c r="X380" s="243">
        <f>P380</f>
        <v/>
      </c>
      <c r="Y380" s="246">
        <f>Q380</f>
        <v/>
      </c>
      <c r="Z380" s="247">
        <f>R380</f>
        <v/>
      </c>
      <c r="AA380" s="243" t="n"/>
      <c r="AB380" s="254" t="n"/>
      <c r="AC380" s="254" t="n"/>
      <c r="AD380" s="254" t="n"/>
      <c r="AE380" s="254" t="n"/>
      <c r="AF380" s="254" t="n"/>
      <c r="AG380" s="255" t="n"/>
      <c r="AH380" s="256" t="n"/>
      <c r="AI380" s="253" t="n"/>
    </row>
    <row r="381" hidden="1" outlineLevel="1" s="592">
      <c r="A381" s="241">
        <f>$A368&amp;"."&amp;13</f>
        <v/>
      </c>
      <c r="B381" s="241" t="n"/>
      <c r="C381" s="255">
        <f>$C$368</f>
        <v/>
      </c>
      <c r="D381" s="243" t="n"/>
      <c r="E381" s="244">
        <f>ROUNDUP(IF(J381=0,0,J381)*IF(K381&gt;0,K381,1)*IF(F381&gt;0,F381,1)*IF(H381&gt;0,H381,1),0)</f>
        <v/>
      </c>
      <c r="F381" s="245" t="n"/>
      <c r="G381" s="243" t="n"/>
      <c r="H381" s="245" t="n"/>
      <c r="I381" s="243" t="n"/>
      <c r="J381" s="246" t="n"/>
      <c r="K381" s="247" t="n"/>
      <c r="L381" s="248">
        <f>ROUNDUP(IF(Q381=0,0,Q381)*IF(R381&gt;0,R381,1)*IF(M381&gt;0,M381,1)*IF(O381&gt;0,O381,1),0)</f>
        <v/>
      </c>
      <c r="M381" s="245">
        <f>F381</f>
        <v/>
      </c>
      <c r="N381" s="243">
        <f>G381</f>
        <v/>
      </c>
      <c r="O381" s="245">
        <f>H381</f>
        <v/>
      </c>
      <c r="P381" s="243">
        <f>I381</f>
        <v/>
      </c>
      <c r="Q381" s="246">
        <f>J381</f>
        <v/>
      </c>
      <c r="R381" s="247">
        <f>K381</f>
        <v/>
      </c>
      <c r="S381" s="243" t="n"/>
      <c r="T381" s="249">
        <f>ROUNDUP(IF(Y381=0,0,Y381)*IF(Z381&gt;0,Z381,1)*IF(U381&gt;0,U381,1)*IF(W381&gt;0,W381,1),0)</f>
        <v/>
      </c>
      <c r="U381" s="245">
        <f>M381</f>
        <v/>
      </c>
      <c r="V381" s="243">
        <f>N381</f>
        <v/>
      </c>
      <c r="W381" s="245">
        <f>O381</f>
        <v/>
      </c>
      <c r="X381" s="243">
        <f>P381</f>
        <v/>
      </c>
      <c r="Y381" s="246">
        <f>Q381</f>
        <v/>
      </c>
      <c r="Z381" s="247">
        <f>R381</f>
        <v/>
      </c>
      <c r="AA381" s="243" t="n"/>
      <c r="AB381" s="254" t="n"/>
      <c r="AC381" s="254" t="n"/>
      <c r="AD381" s="254" t="n"/>
      <c r="AE381" s="254" t="n"/>
      <c r="AF381" s="254" t="n"/>
      <c r="AG381" s="255" t="n"/>
      <c r="AH381" s="256" t="n"/>
      <c r="AI381" s="253" t="n"/>
    </row>
    <row r="382" hidden="1" outlineLevel="1" s="592">
      <c r="A382" s="241">
        <f>$A368&amp;"."&amp;14</f>
        <v/>
      </c>
      <c r="B382" s="241" t="n"/>
      <c r="C382" s="255">
        <f>$C$368</f>
        <v/>
      </c>
      <c r="D382" s="243" t="n"/>
      <c r="E382" s="244">
        <f>ROUNDUP(IF(J382=0,0,J382)*IF(K382&gt;0,K382,1)*IF(F382&gt;0,F382,1)*IF(H382&gt;0,H382,1),0)</f>
        <v/>
      </c>
      <c r="F382" s="245" t="n"/>
      <c r="G382" s="243" t="n"/>
      <c r="H382" s="245" t="n"/>
      <c r="I382" s="243" t="n"/>
      <c r="J382" s="246" t="n"/>
      <c r="K382" s="247" t="n"/>
      <c r="L382" s="248">
        <f>ROUNDUP(IF(Q382=0,0,Q382)*IF(R382&gt;0,R382,1)*IF(M382&gt;0,M382,1)*IF(O382&gt;0,O382,1),0)</f>
        <v/>
      </c>
      <c r="M382" s="245">
        <f>F382</f>
        <v/>
      </c>
      <c r="N382" s="243">
        <f>G382</f>
        <v/>
      </c>
      <c r="O382" s="245">
        <f>H382</f>
        <v/>
      </c>
      <c r="P382" s="243">
        <f>I382</f>
        <v/>
      </c>
      <c r="Q382" s="246">
        <f>J382</f>
        <v/>
      </c>
      <c r="R382" s="247">
        <f>K382</f>
        <v/>
      </c>
      <c r="S382" s="243" t="n"/>
      <c r="T382" s="249">
        <f>ROUNDUP(IF(Y382=0,0,Y382)*IF(Z382&gt;0,Z382,1)*IF(U382&gt;0,U382,1)*IF(W382&gt;0,W382,1),0)</f>
        <v/>
      </c>
      <c r="U382" s="245">
        <f>M382</f>
        <v/>
      </c>
      <c r="V382" s="243">
        <f>N382</f>
        <v/>
      </c>
      <c r="W382" s="245">
        <f>O382</f>
        <v/>
      </c>
      <c r="X382" s="243">
        <f>P382</f>
        <v/>
      </c>
      <c r="Y382" s="246">
        <f>Q382</f>
        <v/>
      </c>
      <c r="Z382" s="247">
        <f>R382</f>
        <v/>
      </c>
      <c r="AA382" s="243" t="n"/>
      <c r="AB382" s="254" t="n"/>
      <c r="AC382" s="254" t="n"/>
      <c r="AD382" s="254" t="n"/>
      <c r="AE382" s="254" t="n"/>
      <c r="AF382" s="254" t="n"/>
      <c r="AG382" s="255" t="n"/>
      <c r="AH382" s="256" t="n"/>
      <c r="AI382" s="253" t="n"/>
    </row>
    <row r="383" hidden="1" outlineLevel="1" s="592">
      <c r="A383" s="241">
        <f>$A368&amp;"."&amp;15</f>
        <v/>
      </c>
      <c r="B383" s="241" t="n"/>
      <c r="C383" s="255">
        <f>$C$368</f>
        <v/>
      </c>
      <c r="D383" s="243" t="n"/>
      <c r="E383" s="244">
        <f>ROUNDUP(IF(J383=0,0,J383)*IF(K383&gt;0,K383,1)*IF(F383&gt;0,F383,1)*IF(H383&gt;0,H383,1),0)</f>
        <v/>
      </c>
      <c r="F383" s="245" t="n"/>
      <c r="G383" s="243" t="n"/>
      <c r="H383" s="245" t="n"/>
      <c r="I383" s="243" t="n"/>
      <c r="J383" s="246" t="n"/>
      <c r="K383" s="247" t="n"/>
      <c r="L383" s="248">
        <f>ROUNDUP(IF(Q383=0,0,Q383)*IF(R383&gt;0,R383,1)*IF(M383&gt;0,M383,1)*IF(O383&gt;0,O383,1),0)</f>
        <v/>
      </c>
      <c r="M383" s="245">
        <f>F383</f>
        <v/>
      </c>
      <c r="N383" s="243">
        <f>G383</f>
        <v/>
      </c>
      <c r="O383" s="245">
        <f>H383</f>
        <v/>
      </c>
      <c r="P383" s="243">
        <f>I383</f>
        <v/>
      </c>
      <c r="Q383" s="246">
        <f>J383</f>
        <v/>
      </c>
      <c r="R383" s="247">
        <f>K383</f>
        <v/>
      </c>
      <c r="S383" s="243" t="n"/>
      <c r="T383" s="249">
        <f>ROUNDUP(IF(Y383=0,0,Y383)*IF(Z383&gt;0,Z383,1)*IF(U383&gt;0,U383,1)*IF(W383&gt;0,W383,1),0)</f>
        <v/>
      </c>
      <c r="U383" s="245">
        <f>M383</f>
        <v/>
      </c>
      <c r="V383" s="243">
        <f>N383</f>
        <v/>
      </c>
      <c r="W383" s="245">
        <f>O383</f>
        <v/>
      </c>
      <c r="X383" s="243">
        <f>P383</f>
        <v/>
      </c>
      <c r="Y383" s="246">
        <f>Q383</f>
        <v/>
      </c>
      <c r="Z383" s="247">
        <f>R383</f>
        <v/>
      </c>
      <c r="AA383" s="243" t="n"/>
      <c r="AB383" s="254" t="n"/>
      <c r="AC383" s="254" t="n"/>
      <c r="AD383" s="254" t="n"/>
      <c r="AE383" s="254" t="n"/>
      <c r="AF383" s="254" t="n"/>
      <c r="AG383" s="255" t="n"/>
      <c r="AH383" s="256" t="n"/>
      <c r="AI383" s="253" t="n"/>
    </row>
    <row r="384" hidden="1" outlineLevel="1" s="592">
      <c r="A384" s="241">
        <f>$A368&amp;"."&amp;16</f>
        <v/>
      </c>
      <c r="B384" s="241" t="n"/>
      <c r="C384" s="255">
        <f>$C$368</f>
        <v/>
      </c>
      <c r="D384" s="243" t="n"/>
      <c r="E384" s="244">
        <f>ROUNDUP(IF(J384=0,0,J384)*IF(K384&gt;0,K384,1)*IF(F384&gt;0,F384,1)*IF(H384&gt;0,H384,1),0)</f>
        <v/>
      </c>
      <c r="F384" s="245" t="n"/>
      <c r="G384" s="243" t="n"/>
      <c r="H384" s="245" t="n"/>
      <c r="I384" s="243" t="n"/>
      <c r="J384" s="246" t="n"/>
      <c r="K384" s="247" t="n"/>
      <c r="L384" s="248">
        <f>ROUNDUP(IF(Q384=0,0,Q384)*IF(R384&gt;0,R384,1)*IF(M384&gt;0,M384,1)*IF(O384&gt;0,O384,1),0)</f>
        <v/>
      </c>
      <c r="M384" s="245">
        <f>F384</f>
        <v/>
      </c>
      <c r="N384" s="243">
        <f>G384</f>
        <v/>
      </c>
      <c r="O384" s="245">
        <f>H384</f>
        <v/>
      </c>
      <c r="P384" s="243">
        <f>I384</f>
        <v/>
      </c>
      <c r="Q384" s="246">
        <f>J384</f>
        <v/>
      </c>
      <c r="R384" s="247">
        <f>K384</f>
        <v/>
      </c>
      <c r="S384" s="243" t="n"/>
      <c r="T384" s="249">
        <f>ROUNDUP(IF(Y384=0,0,Y384)*IF(Z384&gt;0,Z384,1)*IF(U384&gt;0,U384,1)*IF(W384&gt;0,W384,1),0)</f>
        <v/>
      </c>
      <c r="U384" s="245">
        <f>M384</f>
        <v/>
      </c>
      <c r="V384" s="243">
        <f>N384</f>
        <v/>
      </c>
      <c r="W384" s="245">
        <f>O384</f>
        <v/>
      </c>
      <c r="X384" s="243">
        <f>P384</f>
        <v/>
      </c>
      <c r="Y384" s="246">
        <f>Q384</f>
        <v/>
      </c>
      <c r="Z384" s="247">
        <f>R384</f>
        <v/>
      </c>
      <c r="AA384" s="243" t="n"/>
      <c r="AB384" s="254" t="n"/>
      <c r="AC384" s="254" t="n"/>
      <c r="AD384" s="254" t="n"/>
      <c r="AE384" s="254" t="n"/>
      <c r="AF384" s="254" t="n"/>
      <c r="AG384" s="255" t="n"/>
      <c r="AH384" s="256" t="n"/>
      <c r="AI384" s="253" t="n"/>
    </row>
    <row r="385" hidden="1" outlineLevel="1" s="592">
      <c r="A385" s="241">
        <f>$A368&amp;"."&amp;17</f>
        <v/>
      </c>
      <c r="B385" s="241" t="n"/>
      <c r="C385" s="255">
        <f>$C$368</f>
        <v/>
      </c>
      <c r="D385" s="243" t="n"/>
      <c r="E385" s="244">
        <f>ROUNDUP(IF(J385=0,0,J385)*IF(K385&gt;0,K385,1)*IF(F385&gt;0,F385,1)*IF(H385&gt;0,H385,1),0)</f>
        <v/>
      </c>
      <c r="F385" s="245" t="n"/>
      <c r="G385" s="243" t="n"/>
      <c r="H385" s="245" t="n"/>
      <c r="I385" s="243" t="n"/>
      <c r="J385" s="246" t="n"/>
      <c r="K385" s="247" t="n"/>
      <c r="L385" s="248">
        <f>ROUNDUP(IF(Q385=0,0,Q385)*IF(R385&gt;0,R385,1)*IF(M385&gt;0,M385,1)*IF(O385&gt;0,O385,1),0)</f>
        <v/>
      </c>
      <c r="M385" s="245">
        <f>F385</f>
        <v/>
      </c>
      <c r="N385" s="243">
        <f>G385</f>
        <v/>
      </c>
      <c r="O385" s="245">
        <f>H385</f>
        <v/>
      </c>
      <c r="P385" s="243">
        <f>I385</f>
        <v/>
      </c>
      <c r="Q385" s="246">
        <f>J385</f>
        <v/>
      </c>
      <c r="R385" s="247">
        <f>K385</f>
        <v/>
      </c>
      <c r="S385" s="243" t="n"/>
      <c r="T385" s="249">
        <f>ROUNDUP(IF(Y385=0,0,Y385)*IF(Z385&gt;0,Z385,1)*IF(U385&gt;0,U385,1)*IF(W385&gt;0,W385,1),0)</f>
        <v/>
      </c>
      <c r="U385" s="245">
        <f>M385</f>
        <v/>
      </c>
      <c r="V385" s="243">
        <f>N385</f>
        <v/>
      </c>
      <c r="W385" s="245">
        <f>O385</f>
        <v/>
      </c>
      <c r="X385" s="243">
        <f>P385</f>
        <v/>
      </c>
      <c r="Y385" s="246">
        <f>Q385</f>
        <v/>
      </c>
      <c r="Z385" s="247">
        <f>R385</f>
        <v/>
      </c>
      <c r="AA385" s="243" t="n"/>
      <c r="AB385" s="254" t="n"/>
      <c r="AC385" s="254" t="n"/>
      <c r="AD385" s="254" t="n"/>
      <c r="AE385" s="254" t="n"/>
      <c r="AF385" s="254" t="n"/>
      <c r="AG385" s="255" t="n"/>
      <c r="AH385" s="256" t="n"/>
      <c r="AI385" s="253" t="n"/>
    </row>
    <row r="386" hidden="1" outlineLevel="1" s="592">
      <c r="A386" s="241">
        <f>$A368&amp;"."&amp;18</f>
        <v/>
      </c>
      <c r="B386" s="241" t="n"/>
      <c r="C386" s="255">
        <f>$C$368</f>
        <v/>
      </c>
      <c r="D386" s="243" t="n"/>
      <c r="E386" s="244">
        <f>ROUNDUP(IF(J386=0,0,J386)*IF(K386&gt;0,K386,1)*IF(F386&gt;0,F386,1)*IF(H386&gt;0,H386,1),0)</f>
        <v/>
      </c>
      <c r="F386" s="245" t="n"/>
      <c r="G386" s="243" t="n"/>
      <c r="H386" s="245" t="n"/>
      <c r="I386" s="243" t="n"/>
      <c r="J386" s="246" t="n"/>
      <c r="K386" s="247" t="n"/>
      <c r="L386" s="248">
        <f>ROUNDUP(IF(Q386=0,0,Q386)*IF(R386&gt;0,R386,1)*IF(M386&gt;0,M386,1)*IF(O386&gt;0,O386,1),0)</f>
        <v/>
      </c>
      <c r="M386" s="245">
        <f>F386</f>
        <v/>
      </c>
      <c r="N386" s="243">
        <f>G386</f>
        <v/>
      </c>
      <c r="O386" s="245">
        <f>H386</f>
        <v/>
      </c>
      <c r="P386" s="243">
        <f>I386</f>
        <v/>
      </c>
      <c r="Q386" s="246">
        <f>J386</f>
        <v/>
      </c>
      <c r="R386" s="247">
        <f>K386</f>
        <v/>
      </c>
      <c r="S386" s="243" t="n"/>
      <c r="T386" s="249">
        <f>ROUNDUP(IF(Y386=0,0,Y386)*IF(Z386&gt;0,Z386,1)*IF(U386&gt;0,U386,1)*IF(W386&gt;0,W386,1),0)</f>
        <v/>
      </c>
      <c r="U386" s="245">
        <f>M386</f>
        <v/>
      </c>
      <c r="V386" s="243">
        <f>N386</f>
        <v/>
      </c>
      <c r="W386" s="245">
        <f>O386</f>
        <v/>
      </c>
      <c r="X386" s="243">
        <f>P386</f>
        <v/>
      </c>
      <c r="Y386" s="246">
        <f>Q386</f>
        <v/>
      </c>
      <c r="Z386" s="247">
        <f>R386</f>
        <v/>
      </c>
      <c r="AA386" s="243" t="n"/>
      <c r="AB386" s="254" t="n"/>
      <c r="AC386" s="254" t="n"/>
      <c r="AD386" s="254" t="n"/>
      <c r="AE386" s="254" t="n"/>
      <c r="AF386" s="254" t="n"/>
      <c r="AG386" s="255" t="n"/>
      <c r="AH386" s="256" t="n"/>
      <c r="AI386" s="253" t="n"/>
    </row>
    <row r="387" hidden="1" outlineLevel="1" s="592">
      <c r="A387" s="241">
        <f>$A368&amp;"."&amp;19</f>
        <v/>
      </c>
      <c r="B387" s="241" t="n"/>
      <c r="C387" s="255">
        <f>$C$368</f>
        <v/>
      </c>
      <c r="D387" s="243" t="n"/>
      <c r="E387" s="244">
        <f>ROUNDUP(IF(J387=0,0,J387)*IF(K387&gt;0,K387,1)*IF(F387&gt;0,F387,1)*IF(H387&gt;0,H387,1),0)</f>
        <v/>
      </c>
      <c r="F387" s="245" t="n"/>
      <c r="G387" s="243" t="n"/>
      <c r="H387" s="245" t="n"/>
      <c r="I387" s="243" t="n"/>
      <c r="J387" s="246" t="n"/>
      <c r="K387" s="247" t="n"/>
      <c r="L387" s="248">
        <f>ROUNDUP(IF(Q387=0,0,Q387)*IF(R387&gt;0,R387,1)*IF(M387&gt;0,M387,1)*IF(O387&gt;0,O387,1),0)</f>
        <v/>
      </c>
      <c r="M387" s="245">
        <f>F387</f>
        <v/>
      </c>
      <c r="N387" s="243">
        <f>G387</f>
        <v/>
      </c>
      <c r="O387" s="245">
        <f>H387</f>
        <v/>
      </c>
      <c r="P387" s="243">
        <f>I387</f>
        <v/>
      </c>
      <c r="Q387" s="246">
        <f>J387</f>
        <v/>
      </c>
      <c r="R387" s="247">
        <f>K387</f>
        <v/>
      </c>
      <c r="S387" s="243" t="n"/>
      <c r="T387" s="249">
        <f>ROUNDUP(IF(Y387=0,0,Y387)*IF(Z387&gt;0,Z387,1)*IF(U387&gt;0,U387,1)*IF(W387&gt;0,W387,1),0)</f>
        <v/>
      </c>
      <c r="U387" s="245">
        <f>M387</f>
        <v/>
      </c>
      <c r="V387" s="243">
        <f>N387</f>
        <v/>
      </c>
      <c r="W387" s="245">
        <f>O387</f>
        <v/>
      </c>
      <c r="X387" s="243">
        <f>P387</f>
        <v/>
      </c>
      <c r="Y387" s="246">
        <f>Q387</f>
        <v/>
      </c>
      <c r="Z387" s="247">
        <f>R387</f>
        <v/>
      </c>
      <c r="AA387" s="243" t="n"/>
      <c r="AB387" s="254" t="n"/>
      <c r="AC387" s="254" t="n"/>
      <c r="AD387" s="254" t="n"/>
      <c r="AE387" s="254" t="n"/>
      <c r="AF387" s="254" t="n"/>
      <c r="AG387" s="255" t="n"/>
      <c r="AH387" s="256" t="n"/>
      <c r="AI387" s="253" t="n"/>
    </row>
    <row r="388" hidden="1" outlineLevel="1" s="592">
      <c r="A388" s="241">
        <f>$A368&amp;"."&amp;20</f>
        <v/>
      </c>
      <c r="B388" s="241" t="n"/>
      <c r="C388" s="255">
        <f>$C$368</f>
        <v/>
      </c>
      <c r="D388" s="243" t="n"/>
      <c r="E388" s="244">
        <f>ROUNDUP(IF(J388=0,0,J388)*IF(K388&gt;0,K388,1)*IF(F388&gt;0,F388,1)*IF(H388&gt;0,H388,1),0)</f>
        <v/>
      </c>
      <c r="F388" s="245" t="n"/>
      <c r="G388" s="243" t="n"/>
      <c r="H388" s="245" t="n"/>
      <c r="I388" s="243" t="n"/>
      <c r="J388" s="246" t="n"/>
      <c r="K388" s="247" t="n"/>
      <c r="L388" s="248">
        <f>ROUNDUP(IF(Q388=0,0,Q388)*IF(R388&gt;0,R388,1)*IF(M388&gt;0,M388,1)*IF(O388&gt;0,O388,1),0)</f>
        <v/>
      </c>
      <c r="M388" s="245">
        <f>F388</f>
        <v/>
      </c>
      <c r="N388" s="243">
        <f>G388</f>
        <v/>
      </c>
      <c r="O388" s="245">
        <f>H388</f>
        <v/>
      </c>
      <c r="P388" s="243">
        <f>I388</f>
        <v/>
      </c>
      <c r="Q388" s="246">
        <f>J388</f>
        <v/>
      </c>
      <c r="R388" s="247">
        <f>K388</f>
        <v/>
      </c>
      <c r="S388" s="243" t="n"/>
      <c r="T388" s="249">
        <f>ROUNDUP(IF(Y388=0,0,Y388)*IF(Z388&gt;0,Z388,1)*IF(U388&gt;0,U388,1)*IF(W388&gt;0,W388,1),0)</f>
        <v/>
      </c>
      <c r="U388" s="245">
        <f>M388</f>
        <v/>
      </c>
      <c r="V388" s="243">
        <f>N388</f>
        <v/>
      </c>
      <c r="W388" s="245">
        <f>O388</f>
        <v/>
      </c>
      <c r="X388" s="243">
        <f>P388</f>
        <v/>
      </c>
      <c r="Y388" s="246">
        <f>Q388</f>
        <v/>
      </c>
      <c r="Z388" s="247">
        <f>R388</f>
        <v/>
      </c>
      <c r="AA388" s="243" t="n"/>
      <c r="AB388" s="254" t="n"/>
      <c r="AC388" s="254" t="n"/>
      <c r="AD388" s="254" t="n"/>
      <c r="AE388" s="254" t="n"/>
      <c r="AF388" s="254" t="n"/>
      <c r="AG388" s="255" t="n"/>
      <c r="AH388" s="256" t="n"/>
      <c r="AI388" s="253" t="n"/>
    </row>
    <row r="389" collapsed="1" s="592">
      <c r="A389" s="257" t="n">
        <v>19</v>
      </c>
      <c r="B389" s="257">
        <f>IFERROR(__xludf.DUMMYFUNCTION("vlookup(C389,IMPORTRANGE(REF!$B$3,""FP!B:C""),2,0)"),"#N/A")</f>
        <v/>
      </c>
      <c r="C389" s="237" t="inlineStr">
        <is>
          <t>ชื่อกิจกรรมที่ 19</t>
        </is>
      </c>
      <c r="D389" s="232" t="n"/>
      <c r="E389" s="233">
        <f>SUM(E390:E409)</f>
        <v/>
      </c>
      <c r="F389" s="234" t="n"/>
      <c r="G389" s="235" t="n"/>
      <c r="H389" s="234" t="n"/>
      <c r="I389" s="235" t="n"/>
      <c r="J389" s="233" t="n"/>
      <c r="K389" s="236" t="n"/>
      <c r="L389" s="233">
        <f>SUM(L390:L409)</f>
        <v/>
      </c>
      <c r="M389" s="234" t="n"/>
      <c r="N389" s="235" t="n"/>
      <c r="O389" s="234" t="n"/>
      <c r="P389" s="235" t="n"/>
      <c r="Q389" s="233" t="n"/>
      <c r="R389" s="236" t="n"/>
      <c r="S389" s="235" t="n"/>
      <c r="T389" s="233">
        <f>SUM(T390:T409)</f>
        <v/>
      </c>
      <c r="U389" s="234" t="n"/>
      <c r="V389" s="235" t="n"/>
      <c r="W389" s="234" t="n"/>
      <c r="X389" s="235" t="n"/>
      <c r="Y389" s="233" t="n"/>
      <c r="Z389" s="236" t="n"/>
      <c r="AA389" s="235" t="n"/>
      <c r="AB389" s="237" t="n"/>
      <c r="AC389" s="237" t="n"/>
      <c r="AD389" s="237" t="n"/>
      <c r="AE389" s="237" t="n"/>
      <c r="AF389" s="237" t="n"/>
      <c r="AG389" s="238" t="b">
        <v>0</v>
      </c>
      <c r="AH389" s="239" t="n"/>
      <c r="AI389" s="253" t="n"/>
    </row>
    <row r="390" hidden="1" outlineLevel="1" s="592">
      <c r="A390" s="241">
        <f>$A389&amp;"."&amp;1</f>
        <v/>
      </c>
      <c r="B390" s="241" t="n"/>
      <c r="C390" s="255">
        <f>$C$389</f>
        <v/>
      </c>
      <c r="D390" s="243" t="n"/>
      <c r="E390" s="244">
        <f>ROUNDUP(IF(J390=0,0,J390)*IF(K390&gt;0,K390,1)*IF(F390&gt;0,F390,1)*IF(H390&gt;0,H390,1),0)</f>
        <v/>
      </c>
      <c r="F390" s="245" t="n"/>
      <c r="G390" s="243" t="n"/>
      <c r="H390" s="245" t="n"/>
      <c r="I390" s="243" t="n"/>
      <c r="J390" s="246" t="n"/>
      <c r="K390" s="247" t="n"/>
      <c r="L390" s="248">
        <f>ROUNDUP(IF(Q390=0,0,Q390)*IF(R390&gt;0,R390,1)*IF(M390&gt;0,M390,1)*IF(O390&gt;0,O390,1),0)</f>
        <v/>
      </c>
      <c r="M390" s="245">
        <f>F390</f>
        <v/>
      </c>
      <c r="N390" s="243">
        <f>G390</f>
        <v/>
      </c>
      <c r="O390" s="245">
        <f>H390</f>
        <v/>
      </c>
      <c r="P390" s="243">
        <f>I390</f>
        <v/>
      </c>
      <c r="Q390" s="246">
        <f>J390</f>
        <v/>
      </c>
      <c r="R390" s="247">
        <f>K390</f>
        <v/>
      </c>
      <c r="S390" s="243" t="n"/>
      <c r="T390" s="249">
        <f>ROUNDUP(IF(Y390=0,0,Y390)*IF(Z390&gt;0,Z390,1)*IF(U390&gt;0,U390,1)*IF(W390&gt;0,W390,1),0)</f>
        <v/>
      </c>
      <c r="U390" s="245">
        <f>M390</f>
        <v/>
      </c>
      <c r="V390" s="243">
        <f>N390</f>
        <v/>
      </c>
      <c r="W390" s="245">
        <f>O390</f>
        <v/>
      </c>
      <c r="X390" s="243">
        <f>P390</f>
        <v/>
      </c>
      <c r="Y390" s="246">
        <f>Q390</f>
        <v/>
      </c>
      <c r="Z390" s="247">
        <f>R390</f>
        <v/>
      </c>
      <c r="AA390" s="243" t="n"/>
      <c r="AB390" s="254" t="n"/>
      <c r="AC390" s="254" t="n"/>
      <c r="AD390" s="254" t="n"/>
      <c r="AE390" s="254" t="n"/>
      <c r="AF390" s="254" t="n"/>
      <c r="AG390" s="255" t="n"/>
      <c r="AH390" s="256" t="n"/>
      <c r="AI390" s="253" t="n"/>
    </row>
    <row r="391" hidden="1" outlineLevel="1" s="592">
      <c r="A391" s="241">
        <f>$A389&amp;"."&amp;2</f>
        <v/>
      </c>
      <c r="B391" s="241" t="n"/>
      <c r="C391" s="255">
        <f>$C$389</f>
        <v/>
      </c>
      <c r="D391" s="243" t="n"/>
      <c r="E391" s="244">
        <f>ROUNDUP(IF(J391=0,0,J391)*IF(K391&gt;0,K391,1)*IF(F391&gt;0,F391,1)*IF(H391&gt;0,H391,1),0)</f>
        <v/>
      </c>
      <c r="F391" s="245" t="n"/>
      <c r="G391" s="243" t="n"/>
      <c r="H391" s="245" t="n"/>
      <c r="I391" s="243" t="n"/>
      <c r="J391" s="246" t="n"/>
      <c r="K391" s="247" t="n"/>
      <c r="L391" s="248">
        <f>ROUNDUP(IF(Q391=0,0,Q391)*IF(R391&gt;0,R391,1)*IF(M391&gt;0,M391,1)*IF(O391&gt;0,O391,1),0)</f>
        <v/>
      </c>
      <c r="M391" s="245">
        <f>F391</f>
        <v/>
      </c>
      <c r="N391" s="243">
        <f>G391</f>
        <v/>
      </c>
      <c r="O391" s="245">
        <f>H391</f>
        <v/>
      </c>
      <c r="P391" s="243">
        <f>I391</f>
        <v/>
      </c>
      <c r="Q391" s="246">
        <f>J391</f>
        <v/>
      </c>
      <c r="R391" s="247">
        <f>K391</f>
        <v/>
      </c>
      <c r="S391" s="243" t="n"/>
      <c r="T391" s="249">
        <f>ROUNDUP(IF(Y391=0,0,Y391)*IF(Z391&gt;0,Z391,1)*IF(U391&gt;0,U391,1)*IF(W391&gt;0,W391,1),0)</f>
        <v/>
      </c>
      <c r="U391" s="245">
        <f>M391</f>
        <v/>
      </c>
      <c r="V391" s="243">
        <f>N391</f>
        <v/>
      </c>
      <c r="W391" s="245">
        <f>O391</f>
        <v/>
      </c>
      <c r="X391" s="243">
        <f>P391</f>
        <v/>
      </c>
      <c r="Y391" s="246">
        <f>Q391</f>
        <v/>
      </c>
      <c r="Z391" s="247">
        <f>R391</f>
        <v/>
      </c>
      <c r="AA391" s="243" t="n"/>
      <c r="AB391" s="254" t="n"/>
      <c r="AC391" s="254" t="n"/>
      <c r="AD391" s="254" t="n"/>
      <c r="AE391" s="254" t="n"/>
      <c r="AF391" s="254" t="n"/>
      <c r="AG391" s="255" t="n"/>
      <c r="AH391" s="256" t="n"/>
      <c r="AI391" s="253" t="n"/>
    </row>
    <row r="392" hidden="1" outlineLevel="1" s="592">
      <c r="A392" s="241">
        <f>$A389&amp;"."&amp;3</f>
        <v/>
      </c>
      <c r="B392" s="241" t="n"/>
      <c r="C392" s="255">
        <f>$C$389</f>
        <v/>
      </c>
      <c r="D392" s="243" t="n"/>
      <c r="E392" s="244">
        <f>ROUNDUP(IF(J392=0,0,J392)*IF(K392&gt;0,K392,1)*IF(F392&gt;0,F392,1)*IF(H392&gt;0,H392,1),0)</f>
        <v/>
      </c>
      <c r="F392" s="245" t="n"/>
      <c r="G392" s="243" t="n"/>
      <c r="H392" s="245" t="n"/>
      <c r="I392" s="243" t="n"/>
      <c r="J392" s="246" t="n"/>
      <c r="K392" s="247" t="n"/>
      <c r="L392" s="248">
        <f>ROUNDUP(IF(Q392=0,0,Q392)*IF(R392&gt;0,R392,1)*IF(M392&gt;0,M392,1)*IF(O392&gt;0,O392,1),0)</f>
        <v/>
      </c>
      <c r="M392" s="245">
        <f>F392</f>
        <v/>
      </c>
      <c r="N392" s="243">
        <f>G392</f>
        <v/>
      </c>
      <c r="O392" s="245">
        <f>H392</f>
        <v/>
      </c>
      <c r="P392" s="243">
        <f>I392</f>
        <v/>
      </c>
      <c r="Q392" s="246">
        <f>J392</f>
        <v/>
      </c>
      <c r="R392" s="247">
        <f>K392</f>
        <v/>
      </c>
      <c r="S392" s="243" t="n"/>
      <c r="T392" s="249">
        <f>ROUNDUP(IF(Y392=0,0,Y392)*IF(Z392&gt;0,Z392,1)*IF(U392&gt;0,U392,1)*IF(W392&gt;0,W392,1),0)</f>
        <v/>
      </c>
      <c r="U392" s="245">
        <f>M392</f>
        <v/>
      </c>
      <c r="V392" s="243">
        <f>N392</f>
        <v/>
      </c>
      <c r="W392" s="245">
        <f>O392</f>
        <v/>
      </c>
      <c r="X392" s="243">
        <f>P392</f>
        <v/>
      </c>
      <c r="Y392" s="246">
        <f>Q392</f>
        <v/>
      </c>
      <c r="Z392" s="247">
        <f>R392</f>
        <v/>
      </c>
      <c r="AA392" s="243" t="n"/>
      <c r="AB392" s="254" t="n"/>
      <c r="AC392" s="254" t="n"/>
      <c r="AD392" s="254" t="n"/>
      <c r="AE392" s="254" t="n"/>
      <c r="AF392" s="254" t="n"/>
      <c r="AG392" s="255" t="n"/>
      <c r="AH392" s="256" t="n"/>
      <c r="AI392" s="253" t="n"/>
    </row>
    <row r="393" hidden="1" outlineLevel="1" s="592">
      <c r="A393" s="241">
        <f>$A389&amp;"."&amp;4</f>
        <v/>
      </c>
      <c r="B393" s="241" t="n"/>
      <c r="C393" s="255">
        <f>$C$389</f>
        <v/>
      </c>
      <c r="D393" s="243" t="n"/>
      <c r="E393" s="244">
        <f>ROUNDUP(IF(J393=0,0,J393)*IF(K393&gt;0,K393,1)*IF(F393&gt;0,F393,1)*IF(H393&gt;0,H393,1),0)</f>
        <v/>
      </c>
      <c r="F393" s="245" t="n"/>
      <c r="G393" s="243" t="n"/>
      <c r="H393" s="245" t="n"/>
      <c r="I393" s="243" t="n"/>
      <c r="J393" s="246" t="n"/>
      <c r="K393" s="247" t="n"/>
      <c r="L393" s="248">
        <f>ROUNDUP(IF(Q393=0,0,Q393)*IF(R393&gt;0,R393,1)*IF(M393&gt;0,M393,1)*IF(O393&gt;0,O393,1),0)</f>
        <v/>
      </c>
      <c r="M393" s="245">
        <f>F393</f>
        <v/>
      </c>
      <c r="N393" s="243">
        <f>G393</f>
        <v/>
      </c>
      <c r="O393" s="245">
        <f>H393</f>
        <v/>
      </c>
      <c r="P393" s="243">
        <f>I393</f>
        <v/>
      </c>
      <c r="Q393" s="246">
        <f>J393</f>
        <v/>
      </c>
      <c r="R393" s="247">
        <f>K393</f>
        <v/>
      </c>
      <c r="S393" s="243" t="n"/>
      <c r="T393" s="249">
        <f>ROUNDUP(IF(Y393=0,0,Y393)*IF(Z393&gt;0,Z393,1)*IF(U393&gt;0,U393,1)*IF(W393&gt;0,W393,1),0)</f>
        <v/>
      </c>
      <c r="U393" s="245">
        <f>M393</f>
        <v/>
      </c>
      <c r="V393" s="243">
        <f>N393</f>
        <v/>
      </c>
      <c r="W393" s="245">
        <f>O393</f>
        <v/>
      </c>
      <c r="X393" s="243">
        <f>P393</f>
        <v/>
      </c>
      <c r="Y393" s="246">
        <f>Q393</f>
        <v/>
      </c>
      <c r="Z393" s="247">
        <f>R393</f>
        <v/>
      </c>
      <c r="AA393" s="243" t="n"/>
      <c r="AB393" s="254" t="n"/>
      <c r="AC393" s="254" t="n"/>
      <c r="AD393" s="254" t="n"/>
      <c r="AE393" s="254" t="n"/>
      <c r="AF393" s="254" t="n"/>
      <c r="AG393" s="255" t="n"/>
      <c r="AH393" s="256" t="n"/>
      <c r="AI393" s="253" t="n"/>
    </row>
    <row r="394" hidden="1" outlineLevel="1" s="592">
      <c r="A394" s="241">
        <f>$A389&amp;"."&amp;5</f>
        <v/>
      </c>
      <c r="B394" s="241" t="n"/>
      <c r="C394" s="255">
        <f>$C$389</f>
        <v/>
      </c>
      <c r="D394" s="243" t="n"/>
      <c r="E394" s="244">
        <f>ROUNDUP(IF(J394=0,0,J394)*IF(K394&gt;0,K394,1)*IF(F394&gt;0,F394,1)*IF(H394&gt;0,H394,1),0)</f>
        <v/>
      </c>
      <c r="F394" s="245" t="n"/>
      <c r="G394" s="243" t="n"/>
      <c r="H394" s="245" t="n"/>
      <c r="I394" s="243" t="n"/>
      <c r="J394" s="246" t="n"/>
      <c r="K394" s="247" t="n"/>
      <c r="L394" s="248">
        <f>ROUNDUP(IF(Q394=0,0,Q394)*IF(R394&gt;0,R394,1)*IF(M394&gt;0,M394,1)*IF(O394&gt;0,O394,1),0)</f>
        <v/>
      </c>
      <c r="M394" s="245">
        <f>F394</f>
        <v/>
      </c>
      <c r="N394" s="243">
        <f>G394</f>
        <v/>
      </c>
      <c r="O394" s="245">
        <f>H394</f>
        <v/>
      </c>
      <c r="P394" s="243">
        <f>I394</f>
        <v/>
      </c>
      <c r="Q394" s="246">
        <f>J394</f>
        <v/>
      </c>
      <c r="R394" s="247">
        <f>K394</f>
        <v/>
      </c>
      <c r="S394" s="243" t="n"/>
      <c r="T394" s="249">
        <f>ROUNDUP(IF(Y394=0,0,Y394)*IF(Z394&gt;0,Z394,1)*IF(U394&gt;0,U394,1)*IF(W394&gt;0,W394,1),0)</f>
        <v/>
      </c>
      <c r="U394" s="245">
        <f>M394</f>
        <v/>
      </c>
      <c r="V394" s="243">
        <f>N394</f>
        <v/>
      </c>
      <c r="W394" s="245">
        <f>O394</f>
        <v/>
      </c>
      <c r="X394" s="243">
        <f>P394</f>
        <v/>
      </c>
      <c r="Y394" s="246">
        <f>Q394</f>
        <v/>
      </c>
      <c r="Z394" s="247">
        <f>R394</f>
        <v/>
      </c>
      <c r="AA394" s="243" t="n"/>
      <c r="AB394" s="254" t="n"/>
      <c r="AC394" s="254" t="n"/>
      <c r="AD394" s="254" t="n"/>
      <c r="AE394" s="254" t="n"/>
      <c r="AF394" s="254" t="n"/>
      <c r="AG394" s="255" t="n"/>
      <c r="AH394" s="256" t="n"/>
      <c r="AI394" s="253" t="n"/>
    </row>
    <row r="395" hidden="1" outlineLevel="1" s="592">
      <c r="A395" s="241">
        <f>$A389&amp;"."&amp;6</f>
        <v/>
      </c>
      <c r="B395" s="241" t="n"/>
      <c r="C395" s="255">
        <f>$C$389</f>
        <v/>
      </c>
      <c r="D395" s="243" t="n"/>
      <c r="E395" s="244">
        <f>ROUNDUP(IF(J395=0,0,J395)*IF(K395&gt;0,K395,1)*IF(F395&gt;0,F395,1)*IF(H395&gt;0,H395,1),0)</f>
        <v/>
      </c>
      <c r="F395" s="245" t="n"/>
      <c r="G395" s="243" t="n"/>
      <c r="H395" s="245" t="n"/>
      <c r="I395" s="243" t="n"/>
      <c r="J395" s="246" t="n"/>
      <c r="K395" s="247" t="n"/>
      <c r="L395" s="248">
        <f>ROUNDUP(IF(Q395=0,0,Q395)*IF(R395&gt;0,R395,1)*IF(M395&gt;0,M395,1)*IF(O395&gt;0,O395,1),0)</f>
        <v/>
      </c>
      <c r="M395" s="245">
        <f>F395</f>
        <v/>
      </c>
      <c r="N395" s="243">
        <f>G395</f>
        <v/>
      </c>
      <c r="O395" s="245">
        <f>H395</f>
        <v/>
      </c>
      <c r="P395" s="243">
        <f>I395</f>
        <v/>
      </c>
      <c r="Q395" s="246">
        <f>J395</f>
        <v/>
      </c>
      <c r="R395" s="247">
        <f>K395</f>
        <v/>
      </c>
      <c r="S395" s="243" t="n"/>
      <c r="T395" s="249">
        <f>ROUNDUP(IF(Y395=0,0,Y395)*IF(Z395&gt;0,Z395,1)*IF(U395&gt;0,U395,1)*IF(W395&gt;0,W395,1),0)</f>
        <v/>
      </c>
      <c r="U395" s="245">
        <f>M395</f>
        <v/>
      </c>
      <c r="V395" s="243">
        <f>N395</f>
        <v/>
      </c>
      <c r="W395" s="245">
        <f>O395</f>
        <v/>
      </c>
      <c r="X395" s="243">
        <f>P395</f>
        <v/>
      </c>
      <c r="Y395" s="246">
        <f>Q395</f>
        <v/>
      </c>
      <c r="Z395" s="247">
        <f>R395</f>
        <v/>
      </c>
      <c r="AA395" s="243" t="n"/>
      <c r="AB395" s="254" t="n"/>
      <c r="AC395" s="254" t="n"/>
      <c r="AD395" s="254" t="n"/>
      <c r="AE395" s="254" t="n"/>
      <c r="AF395" s="254" t="n"/>
      <c r="AG395" s="255" t="n"/>
      <c r="AH395" s="256" t="n"/>
      <c r="AI395" s="253" t="n"/>
    </row>
    <row r="396" hidden="1" outlineLevel="1" s="592">
      <c r="A396" s="241">
        <f>$A389&amp;"."&amp;7</f>
        <v/>
      </c>
      <c r="B396" s="241" t="n"/>
      <c r="C396" s="255">
        <f>$C$389</f>
        <v/>
      </c>
      <c r="D396" s="243" t="n"/>
      <c r="E396" s="244">
        <f>ROUNDUP(IF(J396=0,0,J396)*IF(K396&gt;0,K396,1)*IF(F396&gt;0,F396,1)*IF(H396&gt;0,H396,1),0)</f>
        <v/>
      </c>
      <c r="F396" s="245" t="n"/>
      <c r="G396" s="243" t="n"/>
      <c r="H396" s="245" t="n"/>
      <c r="I396" s="243" t="n"/>
      <c r="J396" s="246" t="n"/>
      <c r="K396" s="247" t="n"/>
      <c r="L396" s="248">
        <f>ROUNDUP(IF(Q396=0,0,Q396)*IF(R396&gt;0,R396,1)*IF(M396&gt;0,M396,1)*IF(O396&gt;0,O396,1),0)</f>
        <v/>
      </c>
      <c r="M396" s="245">
        <f>F396</f>
        <v/>
      </c>
      <c r="N396" s="243">
        <f>G396</f>
        <v/>
      </c>
      <c r="O396" s="245">
        <f>H396</f>
        <v/>
      </c>
      <c r="P396" s="243">
        <f>I396</f>
        <v/>
      </c>
      <c r="Q396" s="246">
        <f>J396</f>
        <v/>
      </c>
      <c r="R396" s="247">
        <f>K396</f>
        <v/>
      </c>
      <c r="S396" s="243" t="n"/>
      <c r="T396" s="249">
        <f>ROUNDUP(IF(Y396=0,0,Y396)*IF(Z396&gt;0,Z396,1)*IF(U396&gt;0,U396,1)*IF(W396&gt;0,W396,1),0)</f>
        <v/>
      </c>
      <c r="U396" s="245">
        <f>M396</f>
        <v/>
      </c>
      <c r="V396" s="243">
        <f>N396</f>
        <v/>
      </c>
      <c r="W396" s="245">
        <f>O396</f>
        <v/>
      </c>
      <c r="X396" s="243">
        <f>P396</f>
        <v/>
      </c>
      <c r="Y396" s="246">
        <f>Q396</f>
        <v/>
      </c>
      <c r="Z396" s="247">
        <f>R396</f>
        <v/>
      </c>
      <c r="AA396" s="243" t="n"/>
      <c r="AB396" s="254" t="n"/>
      <c r="AC396" s="254" t="n"/>
      <c r="AD396" s="254" t="n"/>
      <c r="AE396" s="254" t="n"/>
      <c r="AF396" s="254" t="n"/>
      <c r="AG396" s="255" t="n"/>
      <c r="AH396" s="256" t="n"/>
      <c r="AI396" s="253" t="n"/>
    </row>
    <row r="397" hidden="1" outlineLevel="1" s="592">
      <c r="A397" s="241">
        <f>$A389&amp;"."&amp;8</f>
        <v/>
      </c>
      <c r="B397" s="241" t="n"/>
      <c r="C397" s="255">
        <f>$C$389</f>
        <v/>
      </c>
      <c r="D397" s="243" t="n"/>
      <c r="E397" s="244">
        <f>ROUNDUP(IF(J397=0,0,J397)*IF(K397&gt;0,K397,1)*IF(F397&gt;0,F397,1)*IF(H397&gt;0,H397,1),0)</f>
        <v/>
      </c>
      <c r="F397" s="245" t="n"/>
      <c r="G397" s="243" t="n"/>
      <c r="H397" s="245" t="n"/>
      <c r="I397" s="243" t="n"/>
      <c r="J397" s="246" t="n"/>
      <c r="K397" s="247" t="n"/>
      <c r="L397" s="248">
        <f>ROUNDUP(IF(Q397=0,0,Q397)*IF(R397&gt;0,R397,1)*IF(M397&gt;0,M397,1)*IF(O397&gt;0,O397,1),0)</f>
        <v/>
      </c>
      <c r="M397" s="245">
        <f>F397</f>
        <v/>
      </c>
      <c r="N397" s="243">
        <f>G397</f>
        <v/>
      </c>
      <c r="O397" s="245">
        <f>H397</f>
        <v/>
      </c>
      <c r="P397" s="243">
        <f>I397</f>
        <v/>
      </c>
      <c r="Q397" s="246">
        <f>J397</f>
        <v/>
      </c>
      <c r="R397" s="247">
        <f>K397</f>
        <v/>
      </c>
      <c r="S397" s="243" t="n"/>
      <c r="T397" s="249">
        <f>ROUNDUP(IF(Y397=0,0,Y397)*IF(Z397&gt;0,Z397,1)*IF(U397&gt;0,U397,1)*IF(W397&gt;0,W397,1),0)</f>
        <v/>
      </c>
      <c r="U397" s="245">
        <f>M397</f>
        <v/>
      </c>
      <c r="V397" s="243">
        <f>N397</f>
        <v/>
      </c>
      <c r="W397" s="245">
        <f>O397</f>
        <v/>
      </c>
      <c r="X397" s="243">
        <f>P397</f>
        <v/>
      </c>
      <c r="Y397" s="246">
        <f>Q397</f>
        <v/>
      </c>
      <c r="Z397" s="247">
        <f>R397</f>
        <v/>
      </c>
      <c r="AA397" s="243" t="n"/>
      <c r="AB397" s="254" t="n"/>
      <c r="AC397" s="254" t="n"/>
      <c r="AD397" s="254" t="n"/>
      <c r="AE397" s="254" t="n"/>
      <c r="AF397" s="254" t="n"/>
      <c r="AG397" s="255" t="n"/>
      <c r="AH397" s="256" t="n"/>
      <c r="AI397" s="253" t="n"/>
    </row>
    <row r="398" hidden="1" outlineLevel="1" s="592">
      <c r="A398" s="241">
        <f>$A389&amp;"."&amp;9</f>
        <v/>
      </c>
      <c r="B398" s="241" t="n"/>
      <c r="C398" s="255">
        <f>$C$389</f>
        <v/>
      </c>
      <c r="D398" s="243" t="n"/>
      <c r="E398" s="244">
        <f>ROUNDUP(IF(J398=0,0,J398)*IF(K398&gt;0,K398,1)*IF(F398&gt;0,F398,1)*IF(H398&gt;0,H398,1),0)</f>
        <v/>
      </c>
      <c r="F398" s="245" t="n"/>
      <c r="G398" s="243" t="n"/>
      <c r="H398" s="245" t="n"/>
      <c r="I398" s="243" t="n"/>
      <c r="J398" s="246" t="n"/>
      <c r="K398" s="247" t="n"/>
      <c r="L398" s="248">
        <f>ROUNDUP(IF(Q398=0,0,Q398)*IF(R398&gt;0,R398,1)*IF(M398&gt;0,M398,1)*IF(O398&gt;0,O398,1),0)</f>
        <v/>
      </c>
      <c r="M398" s="245">
        <f>F398</f>
        <v/>
      </c>
      <c r="N398" s="243">
        <f>G398</f>
        <v/>
      </c>
      <c r="O398" s="245">
        <f>H398</f>
        <v/>
      </c>
      <c r="P398" s="243">
        <f>I398</f>
        <v/>
      </c>
      <c r="Q398" s="246">
        <f>J398</f>
        <v/>
      </c>
      <c r="R398" s="247">
        <f>K398</f>
        <v/>
      </c>
      <c r="S398" s="243" t="n"/>
      <c r="T398" s="249">
        <f>ROUNDUP(IF(Y398=0,0,Y398)*IF(Z398&gt;0,Z398,1)*IF(U398&gt;0,U398,1)*IF(W398&gt;0,W398,1),0)</f>
        <v/>
      </c>
      <c r="U398" s="245">
        <f>M398</f>
        <v/>
      </c>
      <c r="V398" s="243">
        <f>N398</f>
        <v/>
      </c>
      <c r="W398" s="245">
        <f>O398</f>
        <v/>
      </c>
      <c r="X398" s="243">
        <f>P398</f>
        <v/>
      </c>
      <c r="Y398" s="246">
        <f>Q398</f>
        <v/>
      </c>
      <c r="Z398" s="247">
        <f>R398</f>
        <v/>
      </c>
      <c r="AA398" s="243" t="n"/>
      <c r="AB398" s="254" t="n"/>
      <c r="AC398" s="254" t="n"/>
      <c r="AD398" s="254" t="n"/>
      <c r="AE398" s="254" t="n"/>
      <c r="AF398" s="254" t="n"/>
      <c r="AG398" s="255" t="n"/>
      <c r="AH398" s="256" t="n"/>
      <c r="AI398" s="253" t="n"/>
    </row>
    <row r="399" hidden="1" outlineLevel="1" s="592">
      <c r="A399" s="241">
        <f>$A389&amp;"."&amp;10</f>
        <v/>
      </c>
      <c r="B399" s="241" t="n"/>
      <c r="C399" s="255">
        <f>$C$389</f>
        <v/>
      </c>
      <c r="D399" s="243" t="n"/>
      <c r="E399" s="244">
        <f>ROUNDUP(IF(J399=0,0,J399)*IF(K399&gt;0,K399,1)*IF(F399&gt;0,F399,1)*IF(H399&gt;0,H399,1),0)</f>
        <v/>
      </c>
      <c r="F399" s="245" t="n"/>
      <c r="G399" s="243" t="n"/>
      <c r="H399" s="245" t="n"/>
      <c r="I399" s="243" t="n"/>
      <c r="J399" s="246" t="n"/>
      <c r="K399" s="247" t="n"/>
      <c r="L399" s="248">
        <f>ROUNDUP(IF(Q399=0,0,Q399)*IF(R399&gt;0,R399,1)*IF(M399&gt;0,M399,1)*IF(O399&gt;0,O399,1),0)</f>
        <v/>
      </c>
      <c r="M399" s="245">
        <f>F399</f>
        <v/>
      </c>
      <c r="N399" s="243">
        <f>G399</f>
        <v/>
      </c>
      <c r="O399" s="245">
        <f>H399</f>
        <v/>
      </c>
      <c r="P399" s="243">
        <f>I399</f>
        <v/>
      </c>
      <c r="Q399" s="246">
        <f>J399</f>
        <v/>
      </c>
      <c r="R399" s="247">
        <f>K399</f>
        <v/>
      </c>
      <c r="S399" s="243" t="n"/>
      <c r="T399" s="249">
        <f>ROUNDUP(IF(Y399=0,0,Y399)*IF(Z399&gt;0,Z399,1)*IF(U399&gt;0,U399,1)*IF(W399&gt;0,W399,1),0)</f>
        <v/>
      </c>
      <c r="U399" s="245">
        <f>M399</f>
        <v/>
      </c>
      <c r="V399" s="243">
        <f>N399</f>
        <v/>
      </c>
      <c r="W399" s="245">
        <f>O399</f>
        <v/>
      </c>
      <c r="X399" s="243">
        <f>P399</f>
        <v/>
      </c>
      <c r="Y399" s="246">
        <f>Q399</f>
        <v/>
      </c>
      <c r="Z399" s="247">
        <f>R399</f>
        <v/>
      </c>
      <c r="AA399" s="243" t="n"/>
      <c r="AB399" s="254" t="n"/>
      <c r="AC399" s="254" t="n"/>
      <c r="AD399" s="254" t="n"/>
      <c r="AE399" s="254" t="n"/>
      <c r="AF399" s="254" t="n"/>
      <c r="AG399" s="255" t="n"/>
      <c r="AH399" s="256" t="n"/>
      <c r="AI399" s="253" t="n"/>
    </row>
    <row r="400" hidden="1" outlineLevel="1" s="592">
      <c r="A400" s="241">
        <f>$A389&amp;"."&amp;11</f>
        <v/>
      </c>
      <c r="B400" s="241" t="n"/>
      <c r="C400" s="255">
        <f>$C$389</f>
        <v/>
      </c>
      <c r="D400" s="243" t="n"/>
      <c r="E400" s="244">
        <f>ROUNDUP(IF(J400=0,0,J400)*IF(K400&gt;0,K400,1)*IF(F400&gt;0,F400,1)*IF(H400&gt;0,H400,1),0)</f>
        <v/>
      </c>
      <c r="F400" s="245" t="n"/>
      <c r="G400" s="243" t="n"/>
      <c r="H400" s="245" t="n"/>
      <c r="I400" s="243" t="n"/>
      <c r="J400" s="246" t="n"/>
      <c r="K400" s="247" t="n"/>
      <c r="L400" s="248">
        <f>ROUNDUP(IF(Q400=0,0,Q400)*IF(R400&gt;0,R400,1)*IF(M400&gt;0,M400,1)*IF(O400&gt;0,O400,1),0)</f>
        <v/>
      </c>
      <c r="M400" s="245">
        <f>F400</f>
        <v/>
      </c>
      <c r="N400" s="243">
        <f>G400</f>
        <v/>
      </c>
      <c r="O400" s="245">
        <f>H400</f>
        <v/>
      </c>
      <c r="P400" s="243">
        <f>I400</f>
        <v/>
      </c>
      <c r="Q400" s="246">
        <f>J400</f>
        <v/>
      </c>
      <c r="R400" s="247">
        <f>K400</f>
        <v/>
      </c>
      <c r="S400" s="243" t="n"/>
      <c r="T400" s="249">
        <f>ROUNDUP(IF(Y400=0,0,Y400)*IF(Z400&gt;0,Z400,1)*IF(U400&gt;0,U400,1)*IF(W400&gt;0,W400,1),0)</f>
        <v/>
      </c>
      <c r="U400" s="245">
        <f>M400</f>
        <v/>
      </c>
      <c r="V400" s="243">
        <f>N400</f>
        <v/>
      </c>
      <c r="W400" s="245">
        <f>O400</f>
        <v/>
      </c>
      <c r="X400" s="243">
        <f>P400</f>
        <v/>
      </c>
      <c r="Y400" s="246">
        <f>Q400</f>
        <v/>
      </c>
      <c r="Z400" s="247">
        <f>R400</f>
        <v/>
      </c>
      <c r="AA400" s="243" t="n"/>
      <c r="AB400" s="254" t="n"/>
      <c r="AC400" s="254" t="n"/>
      <c r="AD400" s="254" t="n"/>
      <c r="AE400" s="254" t="n"/>
      <c r="AF400" s="254" t="n"/>
      <c r="AG400" s="255" t="n"/>
      <c r="AH400" s="256" t="n"/>
      <c r="AI400" s="253" t="n"/>
    </row>
    <row r="401" hidden="1" outlineLevel="1" s="592">
      <c r="A401" s="241">
        <f>$A389&amp;"."&amp;12</f>
        <v/>
      </c>
      <c r="B401" s="241" t="n"/>
      <c r="C401" s="255">
        <f>$C$389</f>
        <v/>
      </c>
      <c r="D401" s="243" t="n"/>
      <c r="E401" s="244">
        <f>ROUNDUP(IF(J401=0,0,J401)*IF(K401&gt;0,K401,1)*IF(F401&gt;0,F401,1)*IF(H401&gt;0,H401,1),0)</f>
        <v/>
      </c>
      <c r="F401" s="245" t="n"/>
      <c r="G401" s="243" t="n"/>
      <c r="H401" s="245" t="n"/>
      <c r="I401" s="243" t="n"/>
      <c r="J401" s="246" t="n"/>
      <c r="K401" s="247" t="n"/>
      <c r="L401" s="248">
        <f>ROUNDUP(IF(Q401=0,0,Q401)*IF(R401&gt;0,R401,1)*IF(M401&gt;0,M401,1)*IF(O401&gt;0,O401,1),0)</f>
        <v/>
      </c>
      <c r="M401" s="245">
        <f>F401</f>
        <v/>
      </c>
      <c r="N401" s="243">
        <f>G401</f>
        <v/>
      </c>
      <c r="O401" s="245">
        <f>H401</f>
        <v/>
      </c>
      <c r="P401" s="243">
        <f>I401</f>
        <v/>
      </c>
      <c r="Q401" s="246">
        <f>J401</f>
        <v/>
      </c>
      <c r="R401" s="247">
        <f>K401</f>
        <v/>
      </c>
      <c r="S401" s="243" t="n"/>
      <c r="T401" s="249">
        <f>ROUNDUP(IF(Y401=0,0,Y401)*IF(Z401&gt;0,Z401,1)*IF(U401&gt;0,U401,1)*IF(W401&gt;0,W401,1),0)</f>
        <v/>
      </c>
      <c r="U401" s="245">
        <f>M401</f>
        <v/>
      </c>
      <c r="V401" s="243">
        <f>N401</f>
        <v/>
      </c>
      <c r="W401" s="245">
        <f>O401</f>
        <v/>
      </c>
      <c r="X401" s="243">
        <f>P401</f>
        <v/>
      </c>
      <c r="Y401" s="246">
        <f>Q401</f>
        <v/>
      </c>
      <c r="Z401" s="247">
        <f>R401</f>
        <v/>
      </c>
      <c r="AA401" s="243" t="n"/>
      <c r="AB401" s="254" t="n"/>
      <c r="AC401" s="254" t="n"/>
      <c r="AD401" s="254" t="n"/>
      <c r="AE401" s="254" t="n"/>
      <c r="AF401" s="254" t="n"/>
      <c r="AG401" s="255" t="n"/>
      <c r="AH401" s="256" t="n"/>
      <c r="AI401" s="253" t="n"/>
    </row>
    <row r="402" hidden="1" outlineLevel="1" s="592">
      <c r="A402" s="241">
        <f>$A389&amp;"."&amp;13</f>
        <v/>
      </c>
      <c r="B402" s="241" t="n"/>
      <c r="C402" s="255">
        <f>$C$389</f>
        <v/>
      </c>
      <c r="D402" s="243" t="n"/>
      <c r="E402" s="244">
        <f>ROUNDUP(IF(J402=0,0,J402)*IF(K402&gt;0,K402,1)*IF(F402&gt;0,F402,1)*IF(H402&gt;0,H402,1),0)</f>
        <v/>
      </c>
      <c r="F402" s="245" t="n"/>
      <c r="G402" s="243" t="n"/>
      <c r="H402" s="245" t="n"/>
      <c r="I402" s="243" t="n"/>
      <c r="J402" s="246" t="n"/>
      <c r="K402" s="247" t="n"/>
      <c r="L402" s="248">
        <f>ROUNDUP(IF(Q402=0,0,Q402)*IF(R402&gt;0,R402,1)*IF(M402&gt;0,M402,1)*IF(O402&gt;0,O402,1),0)</f>
        <v/>
      </c>
      <c r="M402" s="245">
        <f>F402</f>
        <v/>
      </c>
      <c r="N402" s="243">
        <f>G402</f>
        <v/>
      </c>
      <c r="O402" s="245">
        <f>H402</f>
        <v/>
      </c>
      <c r="P402" s="243">
        <f>I402</f>
        <v/>
      </c>
      <c r="Q402" s="246">
        <f>J402</f>
        <v/>
      </c>
      <c r="R402" s="247">
        <f>K402</f>
        <v/>
      </c>
      <c r="S402" s="243" t="n"/>
      <c r="T402" s="249">
        <f>ROUNDUP(IF(Y402=0,0,Y402)*IF(Z402&gt;0,Z402,1)*IF(U402&gt;0,U402,1)*IF(W402&gt;0,W402,1),0)</f>
        <v/>
      </c>
      <c r="U402" s="245">
        <f>M402</f>
        <v/>
      </c>
      <c r="V402" s="243">
        <f>N402</f>
        <v/>
      </c>
      <c r="W402" s="245">
        <f>O402</f>
        <v/>
      </c>
      <c r="X402" s="243">
        <f>P402</f>
        <v/>
      </c>
      <c r="Y402" s="246">
        <f>Q402</f>
        <v/>
      </c>
      <c r="Z402" s="247">
        <f>R402</f>
        <v/>
      </c>
      <c r="AA402" s="243" t="n"/>
      <c r="AB402" s="254" t="n"/>
      <c r="AC402" s="254" t="n"/>
      <c r="AD402" s="254" t="n"/>
      <c r="AE402" s="254" t="n"/>
      <c r="AF402" s="254" t="n"/>
      <c r="AG402" s="255" t="n"/>
      <c r="AH402" s="256" t="n"/>
      <c r="AI402" s="253" t="n"/>
    </row>
    <row r="403" hidden="1" outlineLevel="1" s="592">
      <c r="A403" s="241">
        <f>$A389&amp;"."&amp;14</f>
        <v/>
      </c>
      <c r="B403" s="241" t="n"/>
      <c r="C403" s="255">
        <f>$C$389</f>
        <v/>
      </c>
      <c r="D403" s="243" t="n"/>
      <c r="E403" s="244">
        <f>ROUNDUP(IF(J403=0,0,J403)*IF(K403&gt;0,K403,1)*IF(F403&gt;0,F403,1)*IF(H403&gt;0,H403,1),0)</f>
        <v/>
      </c>
      <c r="F403" s="245" t="n"/>
      <c r="G403" s="243" t="n"/>
      <c r="H403" s="245" t="n"/>
      <c r="I403" s="243" t="n"/>
      <c r="J403" s="246" t="n"/>
      <c r="K403" s="247" t="n"/>
      <c r="L403" s="248">
        <f>ROUNDUP(IF(Q403=0,0,Q403)*IF(R403&gt;0,R403,1)*IF(M403&gt;0,M403,1)*IF(O403&gt;0,O403,1),0)</f>
        <v/>
      </c>
      <c r="M403" s="245">
        <f>F403</f>
        <v/>
      </c>
      <c r="N403" s="243">
        <f>G403</f>
        <v/>
      </c>
      <c r="O403" s="245">
        <f>H403</f>
        <v/>
      </c>
      <c r="P403" s="243">
        <f>I403</f>
        <v/>
      </c>
      <c r="Q403" s="246">
        <f>J403</f>
        <v/>
      </c>
      <c r="R403" s="247">
        <f>K403</f>
        <v/>
      </c>
      <c r="S403" s="243" t="n"/>
      <c r="T403" s="249">
        <f>ROUNDUP(IF(Y403=0,0,Y403)*IF(Z403&gt;0,Z403,1)*IF(U403&gt;0,U403,1)*IF(W403&gt;0,W403,1),0)</f>
        <v/>
      </c>
      <c r="U403" s="245">
        <f>M403</f>
        <v/>
      </c>
      <c r="V403" s="243">
        <f>N403</f>
        <v/>
      </c>
      <c r="W403" s="245">
        <f>O403</f>
        <v/>
      </c>
      <c r="X403" s="243">
        <f>P403</f>
        <v/>
      </c>
      <c r="Y403" s="246">
        <f>Q403</f>
        <v/>
      </c>
      <c r="Z403" s="247">
        <f>R403</f>
        <v/>
      </c>
      <c r="AA403" s="243" t="n"/>
      <c r="AB403" s="254" t="n"/>
      <c r="AC403" s="254" t="n"/>
      <c r="AD403" s="254" t="n"/>
      <c r="AE403" s="254" t="n"/>
      <c r="AF403" s="254" t="n"/>
      <c r="AG403" s="255" t="n"/>
      <c r="AH403" s="256" t="n"/>
      <c r="AI403" s="253" t="n"/>
    </row>
    <row r="404" hidden="1" outlineLevel="1" s="592">
      <c r="A404" s="241">
        <f>$A389&amp;"."&amp;15</f>
        <v/>
      </c>
      <c r="B404" s="241" t="n"/>
      <c r="C404" s="255">
        <f>$C$389</f>
        <v/>
      </c>
      <c r="D404" s="243" t="n"/>
      <c r="E404" s="244">
        <f>ROUNDUP(IF(J404=0,0,J404)*IF(K404&gt;0,K404,1)*IF(F404&gt;0,F404,1)*IF(H404&gt;0,H404,1),0)</f>
        <v/>
      </c>
      <c r="F404" s="245" t="n"/>
      <c r="G404" s="243" t="n"/>
      <c r="H404" s="245" t="n"/>
      <c r="I404" s="243" t="n"/>
      <c r="J404" s="246" t="n"/>
      <c r="K404" s="247" t="n"/>
      <c r="L404" s="248">
        <f>ROUNDUP(IF(Q404=0,0,Q404)*IF(R404&gt;0,R404,1)*IF(M404&gt;0,M404,1)*IF(O404&gt;0,O404,1),0)</f>
        <v/>
      </c>
      <c r="M404" s="245">
        <f>F404</f>
        <v/>
      </c>
      <c r="N404" s="243">
        <f>G404</f>
        <v/>
      </c>
      <c r="O404" s="245">
        <f>H404</f>
        <v/>
      </c>
      <c r="P404" s="243">
        <f>I404</f>
        <v/>
      </c>
      <c r="Q404" s="246">
        <f>J404</f>
        <v/>
      </c>
      <c r="R404" s="247">
        <f>K404</f>
        <v/>
      </c>
      <c r="S404" s="243" t="n"/>
      <c r="T404" s="249">
        <f>ROUNDUP(IF(Y404=0,0,Y404)*IF(Z404&gt;0,Z404,1)*IF(U404&gt;0,U404,1)*IF(W404&gt;0,W404,1),0)</f>
        <v/>
      </c>
      <c r="U404" s="245">
        <f>M404</f>
        <v/>
      </c>
      <c r="V404" s="243">
        <f>N404</f>
        <v/>
      </c>
      <c r="W404" s="245">
        <f>O404</f>
        <v/>
      </c>
      <c r="X404" s="243">
        <f>P404</f>
        <v/>
      </c>
      <c r="Y404" s="246">
        <f>Q404</f>
        <v/>
      </c>
      <c r="Z404" s="247">
        <f>R404</f>
        <v/>
      </c>
      <c r="AA404" s="243" t="n"/>
      <c r="AB404" s="254" t="n"/>
      <c r="AC404" s="254" t="n"/>
      <c r="AD404" s="254" t="n"/>
      <c r="AE404" s="254" t="n"/>
      <c r="AF404" s="254" t="n"/>
      <c r="AG404" s="255" t="n"/>
      <c r="AH404" s="256" t="n"/>
      <c r="AI404" s="253" t="n"/>
    </row>
    <row r="405" hidden="1" outlineLevel="1" s="592">
      <c r="A405" s="241">
        <f>$A389&amp;"."&amp;16</f>
        <v/>
      </c>
      <c r="B405" s="241" t="n"/>
      <c r="C405" s="255">
        <f>$C$389</f>
        <v/>
      </c>
      <c r="D405" s="243" t="n"/>
      <c r="E405" s="244">
        <f>ROUNDUP(IF(J405=0,0,J405)*IF(K405&gt;0,K405,1)*IF(F405&gt;0,F405,1)*IF(H405&gt;0,H405,1),0)</f>
        <v/>
      </c>
      <c r="F405" s="245" t="n"/>
      <c r="G405" s="243" t="n"/>
      <c r="H405" s="245" t="n"/>
      <c r="I405" s="243" t="n"/>
      <c r="J405" s="246" t="n"/>
      <c r="K405" s="247" t="n"/>
      <c r="L405" s="248">
        <f>ROUNDUP(IF(Q405=0,0,Q405)*IF(R405&gt;0,R405,1)*IF(M405&gt;0,M405,1)*IF(O405&gt;0,O405,1),0)</f>
        <v/>
      </c>
      <c r="M405" s="245">
        <f>F405</f>
        <v/>
      </c>
      <c r="N405" s="243">
        <f>G405</f>
        <v/>
      </c>
      <c r="O405" s="245">
        <f>H405</f>
        <v/>
      </c>
      <c r="P405" s="243">
        <f>I405</f>
        <v/>
      </c>
      <c r="Q405" s="246">
        <f>J405</f>
        <v/>
      </c>
      <c r="R405" s="247">
        <f>K405</f>
        <v/>
      </c>
      <c r="S405" s="243" t="n"/>
      <c r="T405" s="249">
        <f>ROUNDUP(IF(Y405=0,0,Y405)*IF(Z405&gt;0,Z405,1)*IF(U405&gt;0,U405,1)*IF(W405&gt;0,W405,1),0)</f>
        <v/>
      </c>
      <c r="U405" s="245">
        <f>M405</f>
        <v/>
      </c>
      <c r="V405" s="243">
        <f>N405</f>
        <v/>
      </c>
      <c r="W405" s="245">
        <f>O405</f>
        <v/>
      </c>
      <c r="X405" s="243">
        <f>P405</f>
        <v/>
      </c>
      <c r="Y405" s="246">
        <f>Q405</f>
        <v/>
      </c>
      <c r="Z405" s="247">
        <f>R405</f>
        <v/>
      </c>
      <c r="AA405" s="243" t="n"/>
      <c r="AB405" s="254" t="n"/>
      <c r="AC405" s="254" t="n"/>
      <c r="AD405" s="254" t="n"/>
      <c r="AE405" s="254" t="n"/>
      <c r="AF405" s="254" t="n"/>
      <c r="AG405" s="255" t="n"/>
      <c r="AH405" s="256" t="n"/>
      <c r="AI405" s="253" t="n"/>
    </row>
    <row r="406" hidden="1" outlineLevel="1" s="592">
      <c r="A406" s="241">
        <f>$A389&amp;"."&amp;17</f>
        <v/>
      </c>
      <c r="B406" s="241" t="n"/>
      <c r="C406" s="255">
        <f>$C$389</f>
        <v/>
      </c>
      <c r="D406" s="243" t="n"/>
      <c r="E406" s="244">
        <f>ROUNDUP(IF(J406=0,0,J406)*IF(K406&gt;0,K406,1)*IF(F406&gt;0,F406,1)*IF(H406&gt;0,H406,1),0)</f>
        <v/>
      </c>
      <c r="F406" s="245" t="n"/>
      <c r="G406" s="243" t="n"/>
      <c r="H406" s="245" t="n"/>
      <c r="I406" s="243" t="n"/>
      <c r="J406" s="246" t="n"/>
      <c r="K406" s="247" t="n"/>
      <c r="L406" s="248">
        <f>ROUNDUP(IF(Q406=0,0,Q406)*IF(R406&gt;0,R406,1)*IF(M406&gt;0,M406,1)*IF(O406&gt;0,O406,1),0)</f>
        <v/>
      </c>
      <c r="M406" s="245">
        <f>F406</f>
        <v/>
      </c>
      <c r="N406" s="243">
        <f>G406</f>
        <v/>
      </c>
      <c r="O406" s="245">
        <f>H406</f>
        <v/>
      </c>
      <c r="P406" s="243">
        <f>I406</f>
        <v/>
      </c>
      <c r="Q406" s="246">
        <f>J406</f>
        <v/>
      </c>
      <c r="R406" s="247">
        <f>K406</f>
        <v/>
      </c>
      <c r="S406" s="243" t="n"/>
      <c r="T406" s="249">
        <f>ROUNDUP(IF(Y406=0,0,Y406)*IF(Z406&gt;0,Z406,1)*IF(U406&gt;0,U406,1)*IF(W406&gt;0,W406,1),0)</f>
        <v/>
      </c>
      <c r="U406" s="245">
        <f>M406</f>
        <v/>
      </c>
      <c r="V406" s="243">
        <f>N406</f>
        <v/>
      </c>
      <c r="W406" s="245">
        <f>O406</f>
        <v/>
      </c>
      <c r="X406" s="243">
        <f>P406</f>
        <v/>
      </c>
      <c r="Y406" s="246">
        <f>Q406</f>
        <v/>
      </c>
      <c r="Z406" s="247">
        <f>R406</f>
        <v/>
      </c>
      <c r="AA406" s="243" t="n"/>
      <c r="AB406" s="254" t="n"/>
      <c r="AC406" s="254" t="n"/>
      <c r="AD406" s="254" t="n"/>
      <c r="AE406" s="254" t="n"/>
      <c r="AF406" s="254" t="n"/>
      <c r="AG406" s="255" t="n"/>
      <c r="AH406" s="256" t="n"/>
      <c r="AI406" s="253" t="n"/>
    </row>
    <row r="407" hidden="1" outlineLevel="1" s="592">
      <c r="A407" s="241">
        <f>$A389&amp;"."&amp;18</f>
        <v/>
      </c>
      <c r="B407" s="241" t="n"/>
      <c r="C407" s="255">
        <f>$C$389</f>
        <v/>
      </c>
      <c r="D407" s="243" t="n"/>
      <c r="E407" s="244">
        <f>ROUNDUP(IF(J407=0,0,J407)*IF(K407&gt;0,K407,1)*IF(F407&gt;0,F407,1)*IF(H407&gt;0,H407,1),0)</f>
        <v/>
      </c>
      <c r="F407" s="245" t="n"/>
      <c r="G407" s="243" t="n"/>
      <c r="H407" s="245" t="n"/>
      <c r="I407" s="243" t="n"/>
      <c r="J407" s="246" t="n"/>
      <c r="K407" s="247" t="n"/>
      <c r="L407" s="248">
        <f>ROUNDUP(IF(Q407=0,0,Q407)*IF(R407&gt;0,R407,1)*IF(M407&gt;0,M407,1)*IF(O407&gt;0,O407,1),0)</f>
        <v/>
      </c>
      <c r="M407" s="245">
        <f>F407</f>
        <v/>
      </c>
      <c r="N407" s="243">
        <f>G407</f>
        <v/>
      </c>
      <c r="O407" s="245">
        <f>H407</f>
        <v/>
      </c>
      <c r="P407" s="243">
        <f>I407</f>
        <v/>
      </c>
      <c r="Q407" s="246">
        <f>J407</f>
        <v/>
      </c>
      <c r="R407" s="247">
        <f>K407</f>
        <v/>
      </c>
      <c r="S407" s="243" t="n"/>
      <c r="T407" s="249">
        <f>ROUNDUP(IF(Y407=0,0,Y407)*IF(Z407&gt;0,Z407,1)*IF(U407&gt;0,U407,1)*IF(W407&gt;0,W407,1),0)</f>
        <v/>
      </c>
      <c r="U407" s="245">
        <f>M407</f>
        <v/>
      </c>
      <c r="V407" s="243">
        <f>N407</f>
        <v/>
      </c>
      <c r="W407" s="245">
        <f>O407</f>
        <v/>
      </c>
      <c r="X407" s="243">
        <f>P407</f>
        <v/>
      </c>
      <c r="Y407" s="246">
        <f>Q407</f>
        <v/>
      </c>
      <c r="Z407" s="247">
        <f>R407</f>
        <v/>
      </c>
      <c r="AA407" s="243" t="n"/>
      <c r="AB407" s="254" t="n"/>
      <c r="AC407" s="254" t="n"/>
      <c r="AD407" s="254" t="n"/>
      <c r="AE407" s="254" t="n"/>
      <c r="AF407" s="254" t="n"/>
      <c r="AG407" s="255" t="n"/>
      <c r="AH407" s="256" t="n"/>
      <c r="AI407" s="253" t="n"/>
    </row>
    <row r="408" hidden="1" outlineLevel="1" s="592">
      <c r="A408" s="241">
        <f>$A389&amp;"."&amp;19</f>
        <v/>
      </c>
      <c r="B408" s="241" t="n"/>
      <c r="C408" s="255">
        <f>$C$389</f>
        <v/>
      </c>
      <c r="D408" s="243" t="n"/>
      <c r="E408" s="244">
        <f>ROUNDUP(IF(J408=0,0,J408)*IF(K408&gt;0,K408,1)*IF(F408&gt;0,F408,1)*IF(H408&gt;0,H408,1),0)</f>
        <v/>
      </c>
      <c r="F408" s="245" t="n"/>
      <c r="G408" s="243" t="n"/>
      <c r="H408" s="245" t="n"/>
      <c r="I408" s="243" t="n"/>
      <c r="J408" s="246" t="n"/>
      <c r="K408" s="247" t="n"/>
      <c r="L408" s="248">
        <f>ROUNDUP(IF(Q408=0,0,Q408)*IF(R408&gt;0,R408,1)*IF(M408&gt;0,M408,1)*IF(O408&gt;0,O408,1),0)</f>
        <v/>
      </c>
      <c r="M408" s="245">
        <f>F408</f>
        <v/>
      </c>
      <c r="N408" s="243">
        <f>G408</f>
        <v/>
      </c>
      <c r="O408" s="245">
        <f>H408</f>
        <v/>
      </c>
      <c r="P408" s="243">
        <f>I408</f>
        <v/>
      </c>
      <c r="Q408" s="246">
        <f>J408</f>
        <v/>
      </c>
      <c r="R408" s="247">
        <f>K408</f>
        <v/>
      </c>
      <c r="S408" s="243" t="n"/>
      <c r="T408" s="249">
        <f>ROUNDUP(IF(Y408=0,0,Y408)*IF(Z408&gt;0,Z408,1)*IF(U408&gt;0,U408,1)*IF(W408&gt;0,W408,1),0)</f>
        <v/>
      </c>
      <c r="U408" s="245">
        <f>M408</f>
        <v/>
      </c>
      <c r="V408" s="243">
        <f>N408</f>
        <v/>
      </c>
      <c r="W408" s="245">
        <f>O408</f>
        <v/>
      </c>
      <c r="X408" s="243">
        <f>P408</f>
        <v/>
      </c>
      <c r="Y408" s="246">
        <f>Q408</f>
        <v/>
      </c>
      <c r="Z408" s="247">
        <f>R408</f>
        <v/>
      </c>
      <c r="AA408" s="243" t="n"/>
      <c r="AB408" s="254" t="n"/>
      <c r="AC408" s="254" t="n"/>
      <c r="AD408" s="254" t="n"/>
      <c r="AE408" s="254" t="n"/>
      <c r="AF408" s="254" t="n"/>
      <c r="AG408" s="255" t="n"/>
      <c r="AH408" s="256" t="n"/>
      <c r="AI408" s="253" t="n"/>
    </row>
    <row r="409" hidden="1" outlineLevel="1" s="592">
      <c r="A409" s="241">
        <f>$A389&amp;"."&amp;20</f>
        <v/>
      </c>
      <c r="B409" s="241" t="n"/>
      <c r="C409" s="255">
        <f>$C$389</f>
        <v/>
      </c>
      <c r="D409" s="243" t="n"/>
      <c r="E409" s="244">
        <f>ROUNDUP(IF(J409=0,0,J409)*IF(K409&gt;0,K409,1)*IF(F409&gt;0,F409,1)*IF(H409&gt;0,H409,1),0)</f>
        <v/>
      </c>
      <c r="F409" s="245" t="n"/>
      <c r="G409" s="243" t="n"/>
      <c r="H409" s="245" t="n"/>
      <c r="I409" s="243" t="n"/>
      <c r="J409" s="246" t="n"/>
      <c r="K409" s="247" t="n"/>
      <c r="L409" s="248">
        <f>ROUNDUP(IF(Q409=0,0,Q409)*IF(R409&gt;0,R409,1)*IF(M409&gt;0,M409,1)*IF(O409&gt;0,O409,1),0)</f>
        <v/>
      </c>
      <c r="M409" s="245">
        <f>F409</f>
        <v/>
      </c>
      <c r="N409" s="243">
        <f>G409</f>
        <v/>
      </c>
      <c r="O409" s="245">
        <f>H409</f>
        <v/>
      </c>
      <c r="P409" s="243">
        <f>I409</f>
        <v/>
      </c>
      <c r="Q409" s="246">
        <f>J409</f>
        <v/>
      </c>
      <c r="R409" s="247">
        <f>K409</f>
        <v/>
      </c>
      <c r="S409" s="243" t="n"/>
      <c r="T409" s="249">
        <f>ROUNDUP(IF(Y409=0,0,Y409)*IF(Z409&gt;0,Z409,1)*IF(U409&gt;0,U409,1)*IF(W409&gt;0,W409,1),0)</f>
        <v/>
      </c>
      <c r="U409" s="245">
        <f>M409</f>
        <v/>
      </c>
      <c r="V409" s="243">
        <f>N409</f>
        <v/>
      </c>
      <c r="W409" s="245">
        <f>O409</f>
        <v/>
      </c>
      <c r="X409" s="243">
        <f>P409</f>
        <v/>
      </c>
      <c r="Y409" s="246">
        <f>Q409</f>
        <v/>
      </c>
      <c r="Z409" s="247">
        <f>R409</f>
        <v/>
      </c>
      <c r="AA409" s="243" t="n"/>
      <c r="AB409" s="254" t="n"/>
      <c r="AC409" s="254" t="n"/>
      <c r="AD409" s="254" t="n"/>
      <c r="AE409" s="254" t="n"/>
      <c r="AF409" s="254" t="n"/>
      <c r="AG409" s="255" t="n"/>
      <c r="AH409" s="256" t="n"/>
      <c r="AI409" s="253" t="n"/>
    </row>
    <row r="410" collapsed="1" s="592">
      <c r="A410" s="257" t="n">
        <v>20</v>
      </c>
      <c r="B410" s="257">
        <f>IFERROR(__xludf.DUMMYFUNCTION("vlookup(C410,IMPORTRANGE(REF!$B$3,""FP!B:C""),2,0)"),"#N/A")</f>
        <v/>
      </c>
      <c r="C410" s="237" t="inlineStr">
        <is>
          <t>ชื่อกิจกรรมที่ 20</t>
        </is>
      </c>
      <c r="D410" s="232" t="n"/>
      <c r="E410" s="233">
        <f>SUM(E411:E430)</f>
        <v/>
      </c>
      <c r="F410" s="234" t="n"/>
      <c r="G410" s="235" t="n"/>
      <c r="H410" s="234" t="n"/>
      <c r="I410" s="235" t="n"/>
      <c r="J410" s="233" t="n"/>
      <c r="K410" s="236" t="n"/>
      <c r="L410" s="233">
        <f>SUM(L411:L430)</f>
        <v/>
      </c>
      <c r="M410" s="234" t="n"/>
      <c r="N410" s="235" t="n"/>
      <c r="O410" s="234" t="n"/>
      <c r="P410" s="235" t="n"/>
      <c r="Q410" s="233" t="n"/>
      <c r="R410" s="236" t="n"/>
      <c r="S410" s="235" t="n"/>
      <c r="T410" s="233">
        <f>SUM(T411:T430)</f>
        <v/>
      </c>
      <c r="U410" s="234" t="n"/>
      <c r="V410" s="235" t="n"/>
      <c r="W410" s="234" t="n"/>
      <c r="X410" s="235" t="n"/>
      <c r="Y410" s="233" t="n"/>
      <c r="Z410" s="236" t="n"/>
      <c r="AA410" s="235" t="n"/>
      <c r="AB410" s="237" t="n"/>
      <c r="AC410" s="237" t="n"/>
      <c r="AD410" s="237" t="n"/>
      <c r="AE410" s="237" t="n"/>
      <c r="AF410" s="237" t="n"/>
      <c r="AG410" s="238" t="b">
        <v>0</v>
      </c>
      <c r="AH410" s="239" t="n"/>
      <c r="AI410" s="253" t="n"/>
    </row>
    <row r="411" hidden="1" outlineLevel="1" s="592">
      <c r="A411" s="241">
        <f>$A410&amp;"."&amp;1</f>
        <v/>
      </c>
      <c r="B411" s="241" t="n"/>
      <c r="C411" s="255">
        <f>$C$410</f>
        <v/>
      </c>
      <c r="D411" s="243" t="n"/>
      <c r="E411" s="244">
        <f>ROUNDUP(IF(J411=0,0,J411)*IF(K411&gt;0,K411,1)*IF(F411&gt;0,F411,1)*IF(H411&gt;0,H411,1),0)</f>
        <v/>
      </c>
      <c r="F411" s="245" t="n"/>
      <c r="G411" s="243" t="n"/>
      <c r="H411" s="245" t="n"/>
      <c r="I411" s="243" t="n"/>
      <c r="J411" s="246" t="n"/>
      <c r="K411" s="247" t="n"/>
      <c r="L411" s="248">
        <f>ROUNDUP(IF(Q411=0,0,Q411)*IF(R411&gt;0,R411,1)*IF(M411&gt;0,M411,1)*IF(O411&gt;0,O411,1),0)</f>
        <v/>
      </c>
      <c r="M411" s="245">
        <f>F411</f>
        <v/>
      </c>
      <c r="N411" s="243">
        <f>G411</f>
        <v/>
      </c>
      <c r="O411" s="245">
        <f>H411</f>
        <v/>
      </c>
      <c r="P411" s="243">
        <f>I411</f>
        <v/>
      </c>
      <c r="Q411" s="246">
        <f>J411</f>
        <v/>
      </c>
      <c r="R411" s="247">
        <f>K411</f>
        <v/>
      </c>
      <c r="S411" s="243" t="n"/>
      <c r="T411" s="249">
        <f>ROUNDUP(IF(Y411=0,0,Y411)*IF(Z411&gt;0,Z411,1)*IF(U411&gt;0,U411,1)*IF(W411&gt;0,W411,1),0)</f>
        <v/>
      </c>
      <c r="U411" s="245">
        <f>M411</f>
        <v/>
      </c>
      <c r="V411" s="243">
        <f>N411</f>
        <v/>
      </c>
      <c r="W411" s="245">
        <f>O411</f>
        <v/>
      </c>
      <c r="X411" s="243">
        <f>P411</f>
        <v/>
      </c>
      <c r="Y411" s="246">
        <f>Q411</f>
        <v/>
      </c>
      <c r="Z411" s="247">
        <f>R411</f>
        <v/>
      </c>
      <c r="AA411" s="243" t="n"/>
      <c r="AB411" s="254" t="n"/>
      <c r="AC411" s="254" t="n"/>
      <c r="AD411" s="254" t="n"/>
      <c r="AE411" s="254" t="n"/>
      <c r="AF411" s="254" t="n"/>
      <c r="AG411" s="255" t="n"/>
      <c r="AH411" s="256" t="n"/>
      <c r="AI411" s="253" t="n"/>
    </row>
    <row r="412" hidden="1" outlineLevel="1" s="592">
      <c r="A412" s="241">
        <f>$A410&amp;"."&amp;2</f>
        <v/>
      </c>
      <c r="B412" s="241" t="n"/>
      <c r="C412" s="255">
        <f>$C$410</f>
        <v/>
      </c>
      <c r="D412" s="243" t="n"/>
      <c r="E412" s="244">
        <f>ROUNDUP(IF(J412=0,0,J412)*IF(K412&gt;0,K412,1)*IF(F412&gt;0,F412,1)*IF(H412&gt;0,H412,1),0)</f>
        <v/>
      </c>
      <c r="F412" s="245" t="n"/>
      <c r="G412" s="243" t="n"/>
      <c r="H412" s="245" t="n"/>
      <c r="I412" s="243" t="n"/>
      <c r="J412" s="246" t="n"/>
      <c r="K412" s="247" t="n"/>
      <c r="L412" s="248">
        <f>ROUNDUP(IF(Q412=0,0,Q412)*IF(R412&gt;0,R412,1)*IF(M412&gt;0,M412,1)*IF(O412&gt;0,O412,1),0)</f>
        <v/>
      </c>
      <c r="M412" s="245">
        <f>F412</f>
        <v/>
      </c>
      <c r="N412" s="243">
        <f>G412</f>
        <v/>
      </c>
      <c r="O412" s="245">
        <f>H412</f>
        <v/>
      </c>
      <c r="P412" s="243">
        <f>I412</f>
        <v/>
      </c>
      <c r="Q412" s="246">
        <f>J412</f>
        <v/>
      </c>
      <c r="R412" s="247">
        <f>K412</f>
        <v/>
      </c>
      <c r="S412" s="243" t="n"/>
      <c r="T412" s="249">
        <f>ROUNDUP(IF(Y412=0,0,Y412)*IF(Z412&gt;0,Z412,1)*IF(U412&gt;0,U412,1)*IF(W412&gt;0,W412,1),0)</f>
        <v/>
      </c>
      <c r="U412" s="245">
        <f>M412</f>
        <v/>
      </c>
      <c r="V412" s="243">
        <f>N412</f>
        <v/>
      </c>
      <c r="W412" s="245">
        <f>O412</f>
        <v/>
      </c>
      <c r="X412" s="243">
        <f>P412</f>
        <v/>
      </c>
      <c r="Y412" s="246">
        <f>Q412</f>
        <v/>
      </c>
      <c r="Z412" s="247">
        <f>R412</f>
        <v/>
      </c>
      <c r="AA412" s="243" t="n"/>
      <c r="AB412" s="254" t="n"/>
      <c r="AC412" s="254" t="n"/>
      <c r="AD412" s="254" t="n"/>
      <c r="AE412" s="254" t="n"/>
      <c r="AF412" s="254" t="n"/>
      <c r="AG412" s="255" t="n"/>
      <c r="AH412" s="256" t="n"/>
      <c r="AI412" s="253" t="n"/>
    </row>
    <row r="413" hidden="1" outlineLevel="1" s="592">
      <c r="A413" s="241">
        <f>$A410&amp;"."&amp;3</f>
        <v/>
      </c>
      <c r="B413" s="241" t="n"/>
      <c r="C413" s="255">
        <f>$C$410</f>
        <v/>
      </c>
      <c r="D413" s="243" t="n"/>
      <c r="E413" s="244">
        <f>ROUNDUP(IF(J413=0,0,J413)*IF(K413&gt;0,K413,1)*IF(F413&gt;0,F413,1)*IF(H413&gt;0,H413,1),0)</f>
        <v/>
      </c>
      <c r="F413" s="245" t="n"/>
      <c r="G413" s="243" t="n"/>
      <c r="H413" s="245" t="n"/>
      <c r="I413" s="243" t="n"/>
      <c r="J413" s="246" t="n"/>
      <c r="K413" s="247" t="n"/>
      <c r="L413" s="248">
        <f>ROUNDUP(IF(Q413=0,0,Q413)*IF(R413&gt;0,R413,1)*IF(M413&gt;0,M413,1)*IF(O413&gt;0,O413,1),0)</f>
        <v/>
      </c>
      <c r="M413" s="245">
        <f>F413</f>
        <v/>
      </c>
      <c r="N413" s="243">
        <f>G413</f>
        <v/>
      </c>
      <c r="O413" s="245">
        <f>H413</f>
        <v/>
      </c>
      <c r="P413" s="243">
        <f>I413</f>
        <v/>
      </c>
      <c r="Q413" s="246">
        <f>J413</f>
        <v/>
      </c>
      <c r="R413" s="247">
        <f>K413</f>
        <v/>
      </c>
      <c r="S413" s="243" t="n"/>
      <c r="T413" s="249">
        <f>ROUNDUP(IF(Y413=0,0,Y413)*IF(Z413&gt;0,Z413,1)*IF(U413&gt;0,U413,1)*IF(W413&gt;0,W413,1),0)</f>
        <v/>
      </c>
      <c r="U413" s="245">
        <f>M413</f>
        <v/>
      </c>
      <c r="V413" s="243">
        <f>N413</f>
        <v/>
      </c>
      <c r="W413" s="245">
        <f>O413</f>
        <v/>
      </c>
      <c r="X413" s="243">
        <f>P413</f>
        <v/>
      </c>
      <c r="Y413" s="246">
        <f>Q413</f>
        <v/>
      </c>
      <c r="Z413" s="247">
        <f>R413</f>
        <v/>
      </c>
      <c r="AA413" s="243" t="n"/>
      <c r="AB413" s="254" t="n"/>
      <c r="AC413" s="254" t="n"/>
      <c r="AD413" s="254" t="n"/>
      <c r="AE413" s="254" t="n"/>
      <c r="AF413" s="254" t="n"/>
      <c r="AG413" s="255" t="n"/>
      <c r="AH413" s="256" t="n"/>
      <c r="AI413" s="253" t="n"/>
    </row>
    <row r="414" hidden="1" outlineLevel="1" s="592">
      <c r="A414" s="241">
        <f>$A410&amp;"."&amp;4</f>
        <v/>
      </c>
      <c r="B414" s="241" t="n"/>
      <c r="C414" s="255">
        <f>$C$410</f>
        <v/>
      </c>
      <c r="D414" s="243" t="n"/>
      <c r="E414" s="244">
        <f>ROUNDUP(IF(J414=0,0,J414)*IF(K414&gt;0,K414,1)*IF(F414&gt;0,F414,1)*IF(H414&gt;0,H414,1),0)</f>
        <v/>
      </c>
      <c r="F414" s="245" t="n"/>
      <c r="G414" s="243" t="n"/>
      <c r="H414" s="245" t="n"/>
      <c r="I414" s="243" t="n"/>
      <c r="J414" s="246" t="n"/>
      <c r="K414" s="247" t="n"/>
      <c r="L414" s="248">
        <f>ROUNDUP(IF(Q414=0,0,Q414)*IF(R414&gt;0,R414,1)*IF(M414&gt;0,M414,1)*IF(O414&gt;0,O414,1),0)</f>
        <v/>
      </c>
      <c r="M414" s="245">
        <f>F414</f>
        <v/>
      </c>
      <c r="N414" s="243">
        <f>G414</f>
        <v/>
      </c>
      <c r="O414" s="245">
        <f>H414</f>
        <v/>
      </c>
      <c r="P414" s="243">
        <f>I414</f>
        <v/>
      </c>
      <c r="Q414" s="246">
        <f>J414</f>
        <v/>
      </c>
      <c r="R414" s="247">
        <f>K414</f>
        <v/>
      </c>
      <c r="S414" s="243" t="n"/>
      <c r="T414" s="249">
        <f>ROUNDUP(IF(Y414=0,0,Y414)*IF(Z414&gt;0,Z414,1)*IF(U414&gt;0,U414,1)*IF(W414&gt;0,W414,1),0)</f>
        <v/>
      </c>
      <c r="U414" s="245">
        <f>M414</f>
        <v/>
      </c>
      <c r="V414" s="243">
        <f>N414</f>
        <v/>
      </c>
      <c r="W414" s="245">
        <f>O414</f>
        <v/>
      </c>
      <c r="X414" s="243">
        <f>P414</f>
        <v/>
      </c>
      <c r="Y414" s="246">
        <f>Q414</f>
        <v/>
      </c>
      <c r="Z414" s="247">
        <f>R414</f>
        <v/>
      </c>
      <c r="AA414" s="243" t="n"/>
      <c r="AB414" s="254" t="n"/>
      <c r="AC414" s="254" t="n"/>
      <c r="AD414" s="254" t="n"/>
      <c r="AE414" s="254" t="n"/>
      <c r="AF414" s="254" t="n"/>
      <c r="AG414" s="255" t="n"/>
      <c r="AH414" s="256" t="n"/>
      <c r="AI414" s="253" t="n"/>
    </row>
    <row r="415" hidden="1" outlineLevel="1" s="592">
      <c r="A415" s="241">
        <f>$A410&amp;"."&amp;5</f>
        <v/>
      </c>
      <c r="B415" s="241" t="n"/>
      <c r="C415" s="255">
        <f>$C$410</f>
        <v/>
      </c>
      <c r="D415" s="243" t="n"/>
      <c r="E415" s="244">
        <f>ROUNDUP(IF(J415=0,0,J415)*IF(K415&gt;0,K415,1)*IF(F415&gt;0,F415,1)*IF(H415&gt;0,H415,1),0)</f>
        <v/>
      </c>
      <c r="F415" s="245" t="n"/>
      <c r="G415" s="243" t="n"/>
      <c r="H415" s="245" t="n"/>
      <c r="I415" s="243" t="n"/>
      <c r="J415" s="246" t="n"/>
      <c r="K415" s="247" t="n"/>
      <c r="L415" s="248">
        <f>ROUNDUP(IF(Q415=0,0,Q415)*IF(R415&gt;0,R415,1)*IF(M415&gt;0,M415,1)*IF(O415&gt;0,O415,1),0)</f>
        <v/>
      </c>
      <c r="M415" s="245">
        <f>F415</f>
        <v/>
      </c>
      <c r="N415" s="243">
        <f>G415</f>
        <v/>
      </c>
      <c r="O415" s="245">
        <f>H415</f>
        <v/>
      </c>
      <c r="P415" s="243">
        <f>I415</f>
        <v/>
      </c>
      <c r="Q415" s="246">
        <f>J415</f>
        <v/>
      </c>
      <c r="R415" s="247">
        <f>K415</f>
        <v/>
      </c>
      <c r="S415" s="243" t="n"/>
      <c r="T415" s="249">
        <f>ROUNDUP(IF(Y415=0,0,Y415)*IF(Z415&gt;0,Z415,1)*IF(U415&gt;0,U415,1)*IF(W415&gt;0,W415,1),0)</f>
        <v/>
      </c>
      <c r="U415" s="245">
        <f>M415</f>
        <v/>
      </c>
      <c r="V415" s="243">
        <f>N415</f>
        <v/>
      </c>
      <c r="W415" s="245">
        <f>O415</f>
        <v/>
      </c>
      <c r="X415" s="243">
        <f>P415</f>
        <v/>
      </c>
      <c r="Y415" s="246">
        <f>Q415</f>
        <v/>
      </c>
      <c r="Z415" s="247">
        <f>R415</f>
        <v/>
      </c>
      <c r="AA415" s="243" t="n"/>
      <c r="AB415" s="254" t="n"/>
      <c r="AC415" s="254" t="n"/>
      <c r="AD415" s="254" t="n"/>
      <c r="AE415" s="254" t="n"/>
      <c r="AF415" s="254" t="n"/>
      <c r="AG415" s="255" t="n"/>
      <c r="AH415" s="256" t="n"/>
      <c r="AI415" s="253" t="n"/>
    </row>
    <row r="416" hidden="1" outlineLevel="1" s="592">
      <c r="A416" s="241">
        <f>$A410&amp;"."&amp;6</f>
        <v/>
      </c>
      <c r="B416" s="241" t="n"/>
      <c r="C416" s="255">
        <f>$C$410</f>
        <v/>
      </c>
      <c r="D416" s="243" t="n"/>
      <c r="E416" s="244">
        <f>ROUNDUP(IF(J416=0,0,J416)*IF(K416&gt;0,K416,1)*IF(F416&gt;0,F416,1)*IF(H416&gt;0,H416,1),0)</f>
        <v/>
      </c>
      <c r="F416" s="245" t="n"/>
      <c r="G416" s="243" t="n"/>
      <c r="H416" s="245" t="n"/>
      <c r="I416" s="243" t="n"/>
      <c r="J416" s="246" t="n"/>
      <c r="K416" s="247" t="n"/>
      <c r="L416" s="248">
        <f>ROUNDUP(IF(Q416=0,0,Q416)*IF(R416&gt;0,R416,1)*IF(M416&gt;0,M416,1)*IF(O416&gt;0,O416,1),0)</f>
        <v/>
      </c>
      <c r="M416" s="245">
        <f>F416</f>
        <v/>
      </c>
      <c r="N416" s="243">
        <f>G416</f>
        <v/>
      </c>
      <c r="O416" s="245">
        <f>H416</f>
        <v/>
      </c>
      <c r="P416" s="243">
        <f>I416</f>
        <v/>
      </c>
      <c r="Q416" s="246">
        <f>J416</f>
        <v/>
      </c>
      <c r="R416" s="247">
        <f>K416</f>
        <v/>
      </c>
      <c r="S416" s="243" t="n"/>
      <c r="T416" s="249">
        <f>ROUNDUP(IF(Y416=0,0,Y416)*IF(Z416&gt;0,Z416,1)*IF(U416&gt;0,U416,1)*IF(W416&gt;0,W416,1),0)</f>
        <v/>
      </c>
      <c r="U416" s="245">
        <f>M416</f>
        <v/>
      </c>
      <c r="V416" s="243">
        <f>N416</f>
        <v/>
      </c>
      <c r="W416" s="245">
        <f>O416</f>
        <v/>
      </c>
      <c r="X416" s="243">
        <f>P416</f>
        <v/>
      </c>
      <c r="Y416" s="246">
        <f>Q416</f>
        <v/>
      </c>
      <c r="Z416" s="247">
        <f>R416</f>
        <v/>
      </c>
      <c r="AA416" s="243" t="n"/>
      <c r="AB416" s="254" t="n"/>
      <c r="AC416" s="254" t="n"/>
      <c r="AD416" s="254" t="n"/>
      <c r="AE416" s="254" t="n"/>
      <c r="AF416" s="254" t="n"/>
      <c r="AG416" s="255" t="n"/>
      <c r="AH416" s="256" t="n"/>
      <c r="AI416" s="253" t="n"/>
    </row>
    <row r="417" hidden="1" outlineLevel="1" s="592">
      <c r="A417" s="241">
        <f>$A410&amp;"."&amp;7</f>
        <v/>
      </c>
      <c r="B417" s="241" t="n"/>
      <c r="C417" s="255">
        <f>$C$410</f>
        <v/>
      </c>
      <c r="D417" s="243" t="n"/>
      <c r="E417" s="244">
        <f>ROUNDUP(IF(J417=0,0,J417)*IF(K417&gt;0,K417,1)*IF(F417&gt;0,F417,1)*IF(H417&gt;0,H417,1),0)</f>
        <v/>
      </c>
      <c r="F417" s="245" t="n"/>
      <c r="G417" s="243" t="n"/>
      <c r="H417" s="245" t="n"/>
      <c r="I417" s="243" t="n"/>
      <c r="J417" s="246" t="n"/>
      <c r="K417" s="247" t="n"/>
      <c r="L417" s="248">
        <f>ROUNDUP(IF(Q417=0,0,Q417)*IF(R417&gt;0,R417,1)*IF(M417&gt;0,M417,1)*IF(O417&gt;0,O417,1),0)</f>
        <v/>
      </c>
      <c r="M417" s="245">
        <f>F417</f>
        <v/>
      </c>
      <c r="N417" s="243">
        <f>G417</f>
        <v/>
      </c>
      <c r="O417" s="245">
        <f>H417</f>
        <v/>
      </c>
      <c r="P417" s="243">
        <f>I417</f>
        <v/>
      </c>
      <c r="Q417" s="246">
        <f>J417</f>
        <v/>
      </c>
      <c r="R417" s="247">
        <f>K417</f>
        <v/>
      </c>
      <c r="S417" s="243" t="n"/>
      <c r="T417" s="249">
        <f>ROUNDUP(IF(Y417=0,0,Y417)*IF(Z417&gt;0,Z417,1)*IF(U417&gt;0,U417,1)*IF(W417&gt;0,W417,1),0)</f>
        <v/>
      </c>
      <c r="U417" s="245">
        <f>M417</f>
        <v/>
      </c>
      <c r="V417" s="243">
        <f>N417</f>
        <v/>
      </c>
      <c r="W417" s="245">
        <f>O417</f>
        <v/>
      </c>
      <c r="X417" s="243">
        <f>P417</f>
        <v/>
      </c>
      <c r="Y417" s="246">
        <f>Q417</f>
        <v/>
      </c>
      <c r="Z417" s="247">
        <f>R417</f>
        <v/>
      </c>
      <c r="AA417" s="243" t="n"/>
      <c r="AB417" s="254" t="n"/>
      <c r="AC417" s="254" t="n"/>
      <c r="AD417" s="254" t="n"/>
      <c r="AE417" s="254" t="n"/>
      <c r="AF417" s="254" t="n"/>
      <c r="AG417" s="255" t="n"/>
      <c r="AH417" s="256" t="n"/>
      <c r="AI417" s="253" t="n"/>
    </row>
    <row r="418" hidden="1" outlineLevel="1" s="592">
      <c r="A418" s="241">
        <f>$A410&amp;"."&amp;8</f>
        <v/>
      </c>
      <c r="B418" s="241" t="n"/>
      <c r="C418" s="255">
        <f>$C$410</f>
        <v/>
      </c>
      <c r="D418" s="243" t="n"/>
      <c r="E418" s="244">
        <f>ROUNDUP(IF(J418=0,0,J418)*IF(K418&gt;0,K418,1)*IF(F418&gt;0,F418,1)*IF(H418&gt;0,H418,1),0)</f>
        <v/>
      </c>
      <c r="F418" s="245" t="n"/>
      <c r="G418" s="243" t="n"/>
      <c r="H418" s="245" t="n"/>
      <c r="I418" s="243" t="n"/>
      <c r="J418" s="246" t="n"/>
      <c r="K418" s="247" t="n"/>
      <c r="L418" s="248">
        <f>ROUNDUP(IF(Q418=0,0,Q418)*IF(R418&gt;0,R418,1)*IF(M418&gt;0,M418,1)*IF(O418&gt;0,O418,1),0)</f>
        <v/>
      </c>
      <c r="M418" s="245">
        <f>F418</f>
        <v/>
      </c>
      <c r="N418" s="243">
        <f>G418</f>
        <v/>
      </c>
      <c r="O418" s="245">
        <f>H418</f>
        <v/>
      </c>
      <c r="P418" s="243">
        <f>I418</f>
        <v/>
      </c>
      <c r="Q418" s="246">
        <f>J418</f>
        <v/>
      </c>
      <c r="R418" s="247">
        <f>K418</f>
        <v/>
      </c>
      <c r="S418" s="243" t="n"/>
      <c r="T418" s="249">
        <f>ROUNDUP(IF(Y418=0,0,Y418)*IF(Z418&gt;0,Z418,1)*IF(U418&gt;0,U418,1)*IF(W418&gt;0,W418,1),0)</f>
        <v/>
      </c>
      <c r="U418" s="245">
        <f>M418</f>
        <v/>
      </c>
      <c r="V418" s="243">
        <f>N418</f>
        <v/>
      </c>
      <c r="W418" s="245">
        <f>O418</f>
        <v/>
      </c>
      <c r="X418" s="243">
        <f>P418</f>
        <v/>
      </c>
      <c r="Y418" s="246">
        <f>Q418</f>
        <v/>
      </c>
      <c r="Z418" s="247">
        <f>R418</f>
        <v/>
      </c>
      <c r="AA418" s="243" t="n"/>
      <c r="AB418" s="254" t="n"/>
      <c r="AC418" s="254" t="n"/>
      <c r="AD418" s="254" t="n"/>
      <c r="AE418" s="254" t="n"/>
      <c r="AF418" s="254" t="n"/>
      <c r="AG418" s="255" t="n"/>
      <c r="AH418" s="256" t="n"/>
      <c r="AI418" s="253" t="n"/>
    </row>
    <row r="419" hidden="1" outlineLevel="1" s="592">
      <c r="A419" s="241">
        <f>$A410&amp;"."&amp;9</f>
        <v/>
      </c>
      <c r="B419" s="241" t="n"/>
      <c r="C419" s="255">
        <f>$C$410</f>
        <v/>
      </c>
      <c r="D419" s="243" t="n"/>
      <c r="E419" s="244">
        <f>ROUNDUP(IF(J419=0,0,J419)*IF(K419&gt;0,K419,1)*IF(F419&gt;0,F419,1)*IF(H419&gt;0,H419,1),0)</f>
        <v/>
      </c>
      <c r="F419" s="245" t="n"/>
      <c r="G419" s="243" t="n"/>
      <c r="H419" s="245" t="n"/>
      <c r="I419" s="243" t="n"/>
      <c r="J419" s="246" t="n"/>
      <c r="K419" s="247" t="n"/>
      <c r="L419" s="248">
        <f>ROUNDUP(IF(Q419=0,0,Q419)*IF(R419&gt;0,R419,1)*IF(M419&gt;0,M419,1)*IF(O419&gt;0,O419,1),0)</f>
        <v/>
      </c>
      <c r="M419" s="245">
        <f>F419</f>
        <v/>
      </c>
      <c r="N419" s="243">
        <f>G419</f>
        <v/>
      </c>
      <c r="O419" s="245">
        <f>H419</f>
        <v/>
      </c>
      <c r="P419" s="243">
        <f>I419</f>
        <v/>
      </c>
      <c r="Q419" s="246">
        <f>J419</f>
        <v/>
      </c>
      <c r="R419" s="247">
        <f>K419</f>
        <v/>
      </c>
      <c r="S419" s="243" t="n"/>
      <c r="T419" s="249">
        <f>ROUNDUP(IF(Y419=0,0,Y419)*IF(Z419&gt;0,Z419,1)*IF(U419&gt;0,U419,1)*IF(W419&gt;0,W419,1),0)</f>
        <v/>
      </c>
      <c r="U419" s="245">
        <f>M419</f>
        <v/>
      </c>
      <c r="V419" s="243">
        <f>N419</f>
        <v/>
      </c>
      <c r="W419" s="245">
        <f>O419</f>
        <v/>
      </c>
      <c r="X419" s="243">
        <f>P419</f>
        <v/>
      </c>
      <c r="Y419" s="246">
        <f>Q419</f>
        <v/>
      </c>
      <c r="Z419" s="247">
        <f>R419</f>
        <v/>
      </c>
      <c r="AA419" s="243" t="n"/>
      <c r="AB419" s="254" t="n"/>
      <c r="AC419" s="254" t="n"/>
      <c r="AD419" s="254" t="n"/>
      <c r="AE419" s="254" t="n"/>
      <c r="AF419" s="254" t="n"/>
      <c r="AG419" s="255" t="n"/>
      <c r="AH419" s="256" t="n"/>
      <c r="AI419" s="253" t="n"/>
    </row>
    <row r="420" hidden="1" outlineLevel="1" s="592">
      <c r="A420" s="241">
        <f>$A410&amp;"."&amp;10</f>
        <v/>
      </c>
      <c r="B420" s="241" t="n"/>
      <c r="C420" s="255">
        <f>$C$410</f>
        <v/>
      </c>
      <c r="D420" s="243" t="n"/>
      <c r="E420" s="244">
        <f>ROUNDUP(IF(J420=0,0,J420)*IF(K420&gt;0,K420,1)*IF(F420&gt;0,F420,1)*IF(H420&gt;0,H420,1),0)</f>
        <v/>
      </c>
      <c r="F420" s="245" t="n"/>
      <c r="G420" s="243" t="n"/>
      <c r="H420" s="245" t="n"/>
      <c r="I420" s="243" t="n"/>
      <c r="J420" s="246" t="n"/>
      <c r="K420" s="247" t="n"/>
      <c r="L420" s="248">
        <f>ROUNDUP(IF(Q420=0,0,Q420)*IF(R420&gt;0,R420,1)*IF(M420&gt;0,M420,1)*IF(O420&gt;0,O420,1),0)</f>
        <v/>
      </c>
      <c r="M420" s="245">
        <f>F420</f>
        <v/>
      </c>
      <c r="N420" s="243">
        <f>G420</f>
        <v/>
      </c>
      <c r="O420" s="245">
        <f>H420</f>
        <v/>
      </c>
      <c r="P420" s="243">
        <f>I420</f>
        <v/>
      </c>
      <c r="Q420" s="246">
        <f>J420</f>
        <v/>
      </c>
      <c r="R420" s="247">
        <f>K420</f>
        <v/>
      </c>
      <c r="S420" s="243" t="n"/>
      <c r="T420" s="249">
        <f>ROUNDUP(IF(Y420=0,0,Y420)*IF(Z420&gt;0,Z420,1)*IF(U420&gt;0,U420,1)*IF(W420&gt;0,W420,1),0)</f>
        <v/>
      </c>
      <c r="U420" s="245">
        <f>M420</f>
        <v/>
      </c>
      <c r="V420" s="243">
        <f>N420</f>
        <v/>
      </c>
      <c r="W420" s="245">
        <f>O420</f>
        <v/>
      </c>
      <c r="X420" s="243">
        <f>P420</f>
        <v/>
      </c>
      <c r="Y420" s="246">
        <f>Q420</f>
        <v/>
      </c>
      <c r="Z420" s="247">
        <f>R420</f>
        <v/>
      </c>
      <c r="AA420" s="243" t="n"/>
      <c r="AB420" s="254" t="n"/>
      <c r="AC420" s="254" t="n"/>
      <c r="AD420" s="254" t="n"/>
      <c r="AE420" s="254" t="n"/>
      <c r="AF420" s="254" t="n"/>
      <c r="AG420" s="255" t="n"/>
      <c r="AH420" s="256" t="n"/>
      <c r="AI420" s="253" t="n"/>
    </row>
    <row r="421" hidden="1" outlineLevel="1" s="592">
      <c r="A421" s="241">
        <f>$A410&amp;"."&amp;11</f>
        <v/>
      </c>
      <c r="B421" s="241" t="n"/>
      <c r="C421" s="255">
        <f>$C$410</f>
        <v/>
      </c>
      <c r="D421" s="243" t="n"/>
      <c r="E421" s="244">
        <f>ROUNDUP(IF(J421=0,0,J421)*IF(K421&gt;0,K421,1)*IF(F421&gt;0,F421,1)*IF(H421&gt;0,H421,1),0)</f>
        <v/>
      </c>
      <c r="F421" s="245" t="n"/>
      <c r="G421" s="243" t="n"/>
      <c r="H421" s="245" t="n"/>
      <c r="I421" s="243" t="n"/>
      <c r="J421" s="246" t="n"/>
      <c r="K421" s="247" t="n"/>
      <c r="L421" s="248">
        <f>ROUNDUP(IF(Q421=0,0,Q421)*IF(R421&gt;0,R421,1)*IF(M421&gt;0,M421,1)*IF(O421&gt;0,O421,1),0)</f>
        <v/>
      </c>
      <c r="M421" s="245">
        <f>F421</f>
        <v/>
      </c>
      <c r="N421" s="243">
        <f>G421</f>
        <v/>
      </c>
      <c r="O421" s="245">
        <f>H421</f>
        <v/>
      </c>
      <c r="P421" s="243">
        <f>I421</f>
        <v/>
      </c>
      <c r="Q421" s="246">
        <f>J421</f>
        <v/>
      </c>
      <c r="R421" s="247">
        <f>K421</f>
        <v/>
      </c>
      <c r="S421" s="243" t="n"/>
      <c r="T421" s="249">
        <f>ROUNDUP(IF(Y421=0,0,Y421)*IF(Z421&gt;0,Z421,1)*IF(U421&gt;0,U421,1)*IF(W421&gt;0,W421,1),0)</f>
        <v/>
      </c>
      <c r="U421" s="245">
        <f>M421</f>
        <v/>
      </c>
      <c r="V421" s="243">
        <f>N421</f>
        <v/>
      </c>
      <c r="W421" s="245">
        <f>O421</f>
        <v/>
      </c>
      <c r="X421" s="243">
        <f>P421</f>
        <v/>
      </c>
      <c r="Y421" s="246">
        <f>Q421</f>
        <v/>
      </c>
      <c r="Z421" s="247">
        <f>R421</f>
        <v/>
      </c>
      <c r="AA421" s="243" t="n"/>
      <c r="AB421" s="254" t="n"/>
      <c r="AC421" s="254" t="n"/>
      <c r="AD421" s="254" t="n"/>
      <c r="AE421" s="254" t="n"/>
      <c r="AF421" s="254" t="n"/>
      <c r="AG421" s="255" t="n"/>
      <c r="AH421" s="256" t="n"/>
      <c r="AI421" s="253" t="n"/>
    </row>
    <row r="422" hidden="1" outlineLevel="1" s="592">
      <c r="A422" s="241">
        <f>$A410&amp;"."&amp;12</f>
        <v/>
      </c>
      <c r="B422" s="241" t="n"/>
      <c r="C422" s="255">
        <f>$C$410</f>
        <v/>
      </c>
      <c r="D422" s="243" t="n"/>
      <c r="E422" s="244">
        <f>ROUNDUP(IF(J422=0,0,J422)*IF(K422&gt;0,K422,1)*IF(F422&gt;0,F422,1)*IF(H422&gt;0,H422,1),0)</f>
        <v/>
      </c>
      <c r="F422" s="245" t="n"/>
      <c r="G422" s="243" t="n"/>
      <c r="H422" s="245" t="n"/>
      <c r="I422" s="243" t="n"/>
      <c r="J422" s="246" t="n"/>
      <c r="K422" s="247" t="n"/>
      <c r="L422" s="248">
        <f>ROUNDUP(IF(Q422=0,0,Q422)*IF(R422&gt;0,R422,1)*IF(M422&gt;0,M422,1)*IF(O422&gt;0,O422,1),0)</f>
        <v/>
      </c>
      <c r="M422" s="245">
        <f>F422</f>
        <v/>
      </c>
      <c r="N422" s="243">
        <f>G422</f>
        <v/>
      </c>
      <c r="O422" s="245">
        <f>H422</f>
        <v/>
      </c>
      <c r="P422" s="243">
        <f>I422</f>
        <v/>
      </c>
      <c r="Q422" s="246">
        <f>J422</f>
        <v/>
      </c>
      <c r="R422" s="247">
        <f>K422</f>
        <v/>
      </c>
      <c r="S422" s="243" t="n"/>
      <c r="T422" s="249">
        <f>ROUNDUP(IF(Y422=0,0,Y422)*IF(Z422&gt;0,Z422,1)*IF(U422&gt;0,U422,1)*IF(W422&gt;0,W422,1),0)</f>
        <v/>
      </c>
      <c r="U422" s="245">
        <f>M422</f>
        <v/>
      </c>
      <c r="V422" s="243">
        <f>N422</f>
        <v/>
      </c>
      <c r="W422" s="245">
        <f>O422</f>
        <v/>
      </c>
      <c r="X422" s="243">
        <f>P422</f>
        <v/>
      </c>
      <c r="Y422" s="246">
        <f>Q422</f>
        <v/>
      </c>
      <c r="Z422" s="247">
        <f>R422</f>
        <v/>
      </c>
      <c r="AA422" s="243" t="n"/>
      <c r="AB422" s="254" t="n"/>
      <c r="AC422" s="254" t="n"/>
      <c r="AD422" s="254" t="n"/>
      <c r="AE422" s="254" t="n"/>
      <c r="AF422" s="254" t="n"/>
      <c r="AG422" s="255" t="n"/>
      <c r="AH422" s="256" t="n"/>
      <c r="AI422" s="253" t="n"/>
    </row>
    <row r="423" hidden="1" outlineLevel="1" s="592">
      <c r="A423" s="241">
        <f>$A410&amp;"."&amp;13</f>
        <v/>
      </c>
      <c r="B423" s="241" t="n"/>
      <c r="C423" s="255">
        <f>$C$410</f>
        <v/>
      </c>
      <c r="D423" s="243" t="n"/>
      <c r="E423" s="244">
        <f>ROUNDUP(IF(J423=0,0,J423)*IF(K423&gt;0,K423,1)*IF(F423&gt;0,F423,1)*IF(H423&gt;0,H423,1),0)</f>
        <v/>
      </c>
      <c r="F423" s="245" t="n"/>
      <c r="G423" s="243" t="n"/>
      <c r="H423" s="245" t="n"/>
      <c r="I423" s="243" t="n"/>
      <c r="J423" s="246" t="n"/>
      <c r="K423" s="247" t="n"/>
      <c r="L423" s="248">
        <f>ROUNDUP(IF(Q423=0,0,Q423)*IF(R423&gt;0,R423,1)*IF(M423&gt;0,M423,1)*IF(O423&gt;0,O423,1),0)</f>
        <v/>
      </c>
      <c r="M423" s="245">
        <f>F423</f>
        <v/>
      </c>
      <c r="N423" s="243">
        <f>G423</f>
        <v/>
      </c>
      <c r="O423" s="245">
        <f>H423</f>
        <v/>
      </c>
      <c r="P423" s="243">
        <f>I423</f>
        <v/>
      </c>
      <c r="Q423" s="246">
        <f>J423</f>
        <v/>
      </c>
      <c r="R423" s="247">
        <f>K423</f>
        <v/>
      </c>
      <c r="S423" s="243" t="n"/>
      <c r="T423" s="249">
        <f>ROUNDUP(IF(Y423=0,0,Y423)*IF(Z423&gt;0,Z423,1)*IF(U423&gt;0,U423,1)*IF(W423&gt;0,W423,1),0)</f>
        <v/>
      </c>
      <c r="U423" s="245">
        <f>M423</f>
        <v/>
      </c>
      <c r="V423" s="243">
        <f>N423</f>
        <v/>
      </c>
      <c r="W423" s="245">
        <f>O423</f>
        <v/>
      </c>
      <c r="X423" s="243">
        <f>P423</f>
        <v/>
      </c>
      <c r="Y423" s="246">
        <f>Q423</f>
        <v/>
      </c>
      <c r="Z423" s="247">
        <f>R423</f>
        <v/>
      </c>
      <c r="AA423" s="243" t="n"/>
      <c r="AB423" s="254" t="n"/>
      <c r="AC423" s="254" t="n"/>
      <c r="AD423" s="254" t="n"/>
      <c r="AE423" s="254" t="n"/>
      <c r="AF423" s="254" t="n"/>
      <c r="AG423" s="255" t="n"/>
      <c r="AH423" s="256" t="n"/>
      <c r="AI423" s="253" t="n"/>
    </row>
    <row r="424" hidden="1" outlineLevel="1" s="592">
      <c r="A424" s="241">
        <f>$A410&amp;"."&amp;14</f>
        <v/>
      </c>
      <c r="B424" s="241" t="n"/>
      <c r="C424" s="255">
        <f>$C$410</f>
        <v/>
      </c>
      <c r="D424" s="243" t="n"/>
      <c r="E424" s="244">
        <f>ROUNDUP(IF(J424=0,0,J424)*IF(K424&gt;0,K424,1)*IF(F424&gt;0,F424,1)*IF(H424&gt;0,H424,1),0)</f>
        <v/>
      </c>
      <c r="F424" s="245" t="n"/>
      <c r="G424" s="243" t="n"/>
      <c r="H424" s="245" t="n"/>
      <c r="I424" s="243" t="n"/>
      <c r="J424" s="246" t="n"/>
      <c r="K424" s="247" t="n"/>
      <c r="L424" s="248">
        <f>ROUNDUP(IF(Q424=0,0,Q424)*IF(R424&gt;0,R424,1)*IF(M424&gt;0,M424,1)*IF(O424&gt;0,O424,1),0)</f>
        <v/>
      </c>
      <c r="M424" s="245">
        <f>F424</f>
        <v/>
      </c>
      <c r="N424" s="243">
        <f>G424</f>
        <v/>
      </c>
      <c r="O424" s="245">
        <f>H424</f>
        <v/>
      </c>
      <c r="P424" s="243">
        <f>I424</f>
        <v/>
      </c>
      <c r="Q424" s="246">
        <f>J424</f>
        <v/>
      </c>
      <c r="R424" s="247">
        <f>K424</f>
        <v/>
      </c>
      <c r="S424" s="243" t="n"/>
      <c r="T424" s="249">
        <f>ROUNDUP(IF(Y424=0,0,Y424)*IF(Z424&gt;0,Z424,1)*IF(U424&gt;0,U424,1)*IF(W424&gt;0,W424,1),0)</f>
        <v/>
      </c>
      <c r="U424" s="245">
        <f>M424</f>
        <v/>
      </c>
      <c r="V424" s="243">
        <f>N424</f>
        <v/>
      </c>
      <c r="W424" s="245">
        <f>O424</f>
        <v/>
      </c>
      <c r="X424" s="243">
        <f>P424</f>
        <v/>
      </c>
      <c r="Y424" s="246">
        <f>Q424</f>
        <v/>
      </c>
      <c r="Z424" s="247">
        <f>R424</f>
        <v/>
      </c>
      <c r="AA424" s="243" t="n"/>
      <c r="AB424" s="254" t="n"/>
      <c r="AC424" s="254" t="n"/>
      <c r="AD424" s="254" t="n"/>
      <c r="AE424" s="254" t="n"/>
      <c r="AF424" s="254" t="n"/>
      <c r="AG424" s="255" t="n"/>
      <c r="AH424" s="256" t="n"/>
      <c r="AI424" s="253" t="n"/>
    </row>
    <row r="425" hidden="1" outlineLevel="1" s="592">
      <c r="A425" s="241">
        <f>$A410&amp;"."&amp;15</f>
        <v/>
      </c>
      <c r="B425" s="241" t="n"/>
      <c r="C425" s="255">
        <f>$C$410</f>
        <v/>
      </c>
      <c r="D425" s="243" t="n"/>
      <c r="E425" s="244">
        <f>ROUNDUP(IF(J425=0,0,J425)*IF(K425&gt;0,K425,1)*IF(F425&gt;0,F425,1)*IF(H425&gt;0,H425,1),0)</f>
        <v/>
      </c>
      <c r="F425" s="245" t="n"/>
      <c r="G425" s="243" t="n"/>
      <c r="H425" s="245" t="n"/>
      <c r="I425" s="243" t="n"/>
      <c r="J425" s="246" t="n"/>
      <c r="K425" s="247" t="n"/>
      <c r="L425" s="248">
        <f>ROUNDUP(IF(Q425=0,0,Q425)*IF(R425&gt;0,R425,1)*IF(M425&gt;0,M425,1)*IF(O425&gt;0,O425,1),0)</f>
        <v/>
      </c>
      <c r="M425" s="245">
        <f>F425</f>
        <v/>
      </c>
      <c r="N425" s="243">
        <f>G425</f>
        <v/>
      </c>
      <c r="O425" s="245">
        <f>H425</f>
        <v/>
      </c>
      <c r="P425" s="243">
        <f>I425</f>
        <v/>
      </c>
      <c r="Q425" s="246">
        <f>J425</f>
        <v/>
      </c>
      <c r="R425" s="247">
        <f>K425</f>
        <v/>
      </c>
      <c r="S425" s="243" t="n"/>
      <c r="T425" s="249">
        <f>ROUNDUP(IF(Y425=0,0,Y425)*IF(Z425&gt;0,Z425,1)*IF(U425&gt;0,U425,1)*IF(W425&gt;0,W425,1),0)</f>
        <v/>
      </c>
      <c r="U425" s="245">
        <f>M425</f>
        <v/>
      </c>
      <c r="V425" s="243">
        <f>N425</f>
        <v/>
      </c>
      <c r="W425" s="245">
        <f>O425</f>
        <v/>
      </c>
      <c r="X425" s="243">
        <f>P425</f>
        <v/>
      </c>
      <c r="Y425" s="246">
        <f>Q425</f>
        <v/>
      </c>
      <c r="Z425" s="247">
        <f>R425</f>
        <v/>
      </c>
      <c r="AA425" s="243" t="n"/>
      <c r="AB425" s="254" t="n"/>
      <c r="AC425" s="254" t="n"/>
      <c r="AD425" s="254" t="n"/>
      <c r="AE425" s="254" t="n"/>
      <c r="AF425" s="254" t="n"/>
      <c r="AG425" s="255" t="n"/>
      <c r="AH425" s="256" t="n"/>
      <c r="AI425" s="253" t="n"/>
    </row>
    <row r="426" hidden="1" outlineLevel="1" s="592">
      <c r="A426" s="241">
        <f>$A410&amp;"."&amp;16</f>
        <v/>
      </c>
      <c r="B426" s="241" t="n"/>
      <c r="C426" s="255">
        <f>$C$410</f>
        <v/>
      </c>
      <c r="D426" s="243" t="n"/>
      <c r="E426" s="244">
        <f>ROUNDUP(IF(J426=0,0,J426)*IF(K426&gt;0,K426,1)*IF(F426&gt;0,F426,1)*IF(H426&gt;0,H426,1),0)</f>
        <v/>
      </c>
      <c r="F426" s="245" t="n"/>
      <c r="G426" s="243" t="n"/>
      <c r="H426" s="245" t="n"/>
      <c r="I426" s="243" t="n"/>
      <c r="J426" s="246" t="n"/>
      <c r="K426" s="247" t="n"/>
      <c r="L426" s="248">
        <f>ROUNDUP(IF(Q426=0,0,Q426)*IF(R426&gt;0,R426,1)*IF(M426&gt;0,M426,1)*IF(O426&gt;0,O426,1),0)</f>
        <v/>
      </c>
      <c r="M426" s="245">
        <f>F426</f>
        <v/>
      </c>
      <c r="N426" s="243">
        <f>G426</f>
        <v/>
      </c>
      <c r="O426" s="245">
        <f>H426</f>
        <v/>
      </c>
      <c r="P426" s="243">
        <f>I426</f>
        <v/>
      </c>
      <c r="Q426" s="246">
        <f>J426</f>
        <v/>
      </c>
      <c r="R426" s="247">
        <f>K426</f>
        <v/>
      </c>
      <c r="S426" s="243" t="n"/>
      <c r="T426" s="249">
        <f>ROUNDUP(IF(Y426=0,0,Y426)*IF(Z426&gt;0,Z426,1)*IF(U426&gt;0,U426,1)*IF(W426&gt;0,W426,1),0)</f>
        <v/>
      </c>
      <c r="U426" s="245">
        <f>M426</f>
        <v/>
      </c>
      <c r="V426" s="243">
        <f>N426</f>
        <v/>
      </c>
      <c r="W426" s="245">
        <f>O426</f>
        <v/>
      </c>
      <c r="X426" s="243">
        <f>P426</f>
        <v/>
      </c>
      <c r="Y426" s="246">
        <f>Q426</f>
        <v/>
      </c>
      <c r="Z426" s="247">
        <f>R426</f>
        <v/>
      </c>
      <c r="AA426" s="243" t="n"/>
      <c r="AB426" s="254" t="n"/>
      <c r="AC426" s="254" t="n"/>
      <c r="AD426" s="254" t="n"/>
      <c r="AE426" s="254" t="n"/>
      <c r="AF426" s="254" t="n"/>
      <c r="AG426" s="255" t="n"/>
      <c r="AH426" s="256" t="n"/>
      <c r="AI426" s="253" t="n"/>
    </row>
    <row r="427" hidden="1" outlineLevel="1" s="592">
      <c r="A427" s="241">
        <f>$A410&amp;"."&amp;17</f>
        <v/>
      </c>
      <c r="B427" s="241" t="n"/>
      <c r="C427" s="255">
        <f>$C$410</f>
        <v/>
      </c>
      <c r="D427" s="243" t="n"/>
      <c r="E427" s="244">
        <f>ROUNDUP(IF(J427=0,0,J427)*IF(K427&gt;0,K427,1)*IF(F427&gt;0,F427,1)*IF(H427&gt;0,H427,1),0)</f>
        <v/>
      </c>
      <c r="F427" s="245" t="n"/>
      <c r="G427" s="243" t="n"/>
      <c r="H427" s="245" t="n"/>
      <c r="I427" s="243" t="n"/>
      <c r="J427" s="246" t="n"/>
      <c r="K427" s="247" t="n"/>
      <c r="L427" s="248">
        <f>ROUNDUP(IF(Q427=0,0,Q427)*IF(R427&gt;0,R427,1)*IF(M427&gt;0,M427,1)*IF(O427&gt;0,O427,1),0)</f>
        <v/>
      </c>
      <c r="M427" s="245">
        <f>F427</f>
        <v/>
      </c>
      <c r="N427" s="243">
        <f>G427</f>
        <v/>
      </c>
      <c r="O427" s="245">
        <f>H427</f>
        <v/>
      </c>
      <c r="P427" s="243">
        <f>I427</f>
        <v/>
      </c>
      <c r="Q427" s="246">
        <f>J427</f>
        <v/>
      </c>
      <c r="R427" s="247">
        <f>K427</f>
        <v/>
      </c>
      <c r="S427" s="243" t="n"/>
      <c r="T427" s="249">
        <f>ROUNDUP(IF(Y427=0,0,Y427)*IF(Z427&gt;0,Z427,1)*IF(U427&gt;0,U427,1)*IF(W427&gt;0,W427,1),0)</f>
        <v/>
      </c>
      <c r="U427" s="245">
        <f>M427</f>
        <v/>
      </c>
      <c r="V427" s="243">
        <f>N427</f>
        <v/>
      </c>
      <c r="W427" s="245">
        <f>O427</f>
        <v/>
      </c>
      <c r="X427" s="243">
        <f>P427</f>
        <v/>
      </c>
      <c r="Y427" s="246">
        <f>Q427</f>
        <v/>
      </c>
      <c r="Z427" s="247">
        <f>R427</f>
        <v/>
      </c>
      <c r="AA427" s="243" t="n"/>
      <c r="AB427" s="254" t="n"/>
      <c r="AC427" s="254" t="n"/>
      <c r="AD427" s="254" t="n"/>
      <c r="AE427" s="254" t="n"/>
      <c r="AF427" s="254" t="n"/>
      <c r="AG427" s="255" t="n"/>
      <c r="AH427" s="256" t="n"/>
      <c r="AI427" s="253" t="n"/>
    </row>
    <row r="428" hidden="1" outlineLevel="1" s="592">
      <c r="A428" s="241">
        <f>$A410&amp;"."&amp;18</f>
        <v/>
      </c>
      <c r="B428" s="241" t="n"/>
      <c r="C428" s="255">
        <f>$C$410</f>
        <v/>
      </c>
      <c r="D428" s="243" t="n"/>
      <c r="E428" s="244">
        <f>ROUNDUP(IF(J428=0,0,J428)*IF(K428&gt;0,K428,1)*IF(F428&gt;0,F428,1)*IF(H428&gt;0,H428,1),0)</f>
        <v/>
      </c>
      <c r="F428" s="245" t="n"/>
      <c r="G428" s="243" t="n"/>
      <c r="H428" s="245" t="n"/>
      <c r="I428" s="243" t="n"/>
      <c r="J428" s="246" t="n"/>
      <c r="K428" s="247" t="n"/>
      <c r="L428" s="248">
        <f>ROUNDUP(IF(Q428=0,0,Q428)*IF(R428&gt;0,R428,1)*IF(M428&gt;0,M428,1)*IF(O428&gt;0,O428,1),0)</f>
        <v/>
      </c>
      <c r="M428" s="245">
        <f>F428</f>
        <v/>
      </c>
      <c r="N428" s="243">
        <f>G428</f>
        <v/>
      </c>
      <c r="O428" s="245">
        <f>H428</f>
        <v/>
      </c>
      <c r="P428" s="243">
        <f>I428</f>
        <v/>
      </c>
      <c r="Q428" s="246">
        <f>J428</f>
        <v/>
      </c>
      <c r="R428" s="247">
        <f>K428</f>
        <v/>
      </c>
      <c r="S428" s="243" t="n"/>
      <c r="T428" s="249">
        <f>ROUNDUP(IF(Y428=0,0,Y428)*IF(Z428&gt;0,Z428,1)*IF(U428&gt;0,U428,1)*IF(W428&gt;0,W428,1),0)</f>
        <v/>
      </c>
      <c r="U428" s="245">
        <f>M428</f>
        <v/>
      </c>
      <c r="V428" s="243">
        <f>N428</f>
        <v/>
      </c>
      <c r="W428" s="245">
        <f>O428</f>
        <v/>
      </c>
      <c r="X428" s="243">
        <f>P428</f>
        <v/>
      </c>
      <c r="Y428" s="246">
        <f>Q428</f>
        <v/>
      </c>
      <c r="Z428" s="247">
        <f>R428</f>
        <v/>
      </c>
      <c r="AA428" s="243" t="n"/>
      <c r="AB428" s="254" t="n"/>
      <c r="AC428" s="254" t="n"/>
      <c r="AD428" s="254" t="n"/>
      <c r="AE428" s="254" t="n"/>
      <c r="AF428" s="254" t="n"/>
      <c r="AG428" s="255" t="n"/>
      <c r="AH428" s="256" t="n"/>
      <c r="AI428" s="253" t="n"/>
    </row>
    <row r="429" hidden="1" outlineLevel="1" s="592">
      <c r="A429" s="241">
        <f>$A410&amp;"."&amp;19</f>
        <v/>
      </c>
      <c r="B429" s="241" t="n"/>
      <c r="C429" s="255">
        <f>$C$410</f>
        <v/>
      </c>
      <c r="D429" s="243" t="n"/>
      <c r="E429" s="244">
        <f>ROUNDUP(IF(J429=0,0,J429)*IF(K429&gt;0,K429,1)*IF(F429&gt;0,F429,1)*IF(H429&gt;0,H429,1),0)</f>
        <v/>
      </c>
      <c r="F429" s="245" t="n"/>
      <c r="G429" s="243" t="n"/>
      <c r="H429" s="245" t="n"/>
      <c r="I429" s="243" t="n"/>
      <c r="J429" s="246" t="n"/>
      <c r="K429" s="247" t="n"/>
      <c r="L429" s="248">
        <f>ROUNDUP(IF(Q429=0,0,Q429)*IF(R429&gt;0,R429,1)*IF(M429&gt;0,M429,1)*IF(O429&gt;0,O429,1),0)</f>
        <v/>
      </c>
      <c r="M429" s="245">
        <f>F429</f>
        <v/>
      </c>
      <c r="N429" s="243">
        <f>G429</f>
        <v/>
      </c>
      <c r="O429" s="245">
        <f>H429</f>
        <v/>
      </c>
      <c r="P429" s="243">
        <f>I429</f>
        <v/>
      </c>
      <c r="Q429" s="246">
        <f>J429</f>
        <v/>
      </c>
      <c r="R429" s="247">
        <f>K429</f>
        <v/>
      </c>
      <c r="S429" s="243" t="n"/>
      <c r="T429" s="249">
        <f>ROUNDUP(IF(Y429=0,0,Y429)*IF(Z429&gt;0,Z429,1)*IF(U429&gt;0,U429,1)*IF(W429&gt;0,W429,1),0)</f>
        <v/>
      </c>
      <c r="U429" s="245">
        <f>M429</f>
        <v/>
      </c>
      <c r="V429" s="243">
        <f>N429</f>
        <v/>
      </c>
      <c r="W429" s="245">
        <f>O429</f>
        <v/>
      </c>
      <c r="X429" s="243">
        <f>P429</f>
        <v/>
      </c>
      <c r="Y429" s="246">
        <f>Q429</f>
        <v/>
      </c>
      <c r="Z429" s="247">
        <f>R429</f>
        <v/>
      </c>
      <c r="AA429" s="243" t="n"/>
      <c r="AB429" s="254" t="n"/>
      <c r="AC429" s="254" t="n"/>
      <c r="AD429" s="254" t="n"/>
      <c r="AE429" s="254" t="n"/>
      <c r="AF429" s="254" t="n"/>
      <c r="AG429" s="255" t="n"/>
      <c r="AH429" s="256" t="n"/>
      <c r="AI429" s="253" t="n"/>
    </row>
    <row r="430" hidden="1" outlineLevel="1" s="592">
      <c r="A430" s="241">
        <f>$A410&amp;"."&amp;20</f>
        <v/>
      </c>
      <c r="B430" s="241" t="n"/>
      <c r="C430" s="255">
        <f>$C$410</f>
        <v/>
      </c>
      <c r="D430" s="243" t="n"/>
      <c r="E430" s="244">
        <f>ROUNDUP(IF(J430=0,0,J430)*IF(K430&gt;0,K430,1)*IF(F430&gt;0,F430,1)*IF(H430&gt;0,H430,1),0)</f>
        <v/>
      </c>
      <c r="F430" s="245" t="n"/>
      <c r="G430" s="243" t="n"/>
      <c r="H430" s="245" t="n"/>
      <c r="I430" s="243" t="n"/>
      <c r="J430" s="246" t="n"/>
      <c r="K430" s="247" t="n"/>
      <c r="L430" s="248">
        <f>ROUNDUP(IF(Q430=0,0,Q430)*IF(R430&gt;0,R430,1)*IF(M430&gt;0,M430,1)*IF(O430&gt;0,O430,1),0)</f>
        <v/>
      </c>
      <c r="M430" s="245">
        <f>F430</f>
        <v/>
      </c>
      <c r="N430" s="243">
        <f>G430</f>
        <v/>
      </c>
      <c r="O430" s="245">
        <f>H430</f>
        <v/>
      </c>
      <c r="P430" s="243">
        <f>I430</f>
        <v/>
      </c>
      <c r="Q430" s="246">
        <f>J430</f>
        <v/>
      </c>
      <c r="R430" s="247">
        <f>K430</f>
        <v/>
      </c>
      <c r="S430" s="243" t="n"/>
      <c r="T430" s="249">
        <f>ROUNDUP(IF(Y430=0,0,Y430)*IF(Z430&gt;0,Z430,1)*IF(U430&gt;0,U430,1)*IF(W430&gt;0,W430,1),0)</f>
        <v/>
      </c>
      <c r="U430" s="245">
        <f>M430</f>
        <v/>
      </c>
      <c r="V430" s="243">
        <f>N430</f>
        <v/>
      </c>
      <c r="W430" s="245">
        <f>O430</f>
        <v/>
      </c>
      <c r="X430" s="243">
        <f>P430</f>
        <v/>
      </c>
      <c r="Y430" s="246">
        <f>Q430</f>
        <v/>
      </c>
      <c r="Z430" s="247">
        <f>R430</f>
        <v/>
      </c>
      <c r="AA430" s="243" t="n"/>
      <c r="AB430" s="254" t="n"/>
      <c r="AC430" s="254" t="n"/>
      <c r="AD430" s="254" t="n"/>
      <c r="AE430" s="254" t="n"/>
      <c r="AF430" s="254" t="n"/>
      <c r="AG430" s="255" t="n"/>
      <c r="AH430" s="256" t="n"/>
      <c r="AI430" s="253" t="n"/>
    </row>
  </sheetData>
  <mergeCells count="34">
    <mergeCell ref="O7:P7"/>
    <mergeCell ref="A2:AH2"/>
    <mergeCell ref="R7:R8"/>
    <mergeCell ref="A7:A8"/>
    <mergeCell ref="F6:G6"/>
    <mergeCell ref="Z7:Z8"/>
    <mergeCell ref="S7:S8"/>
    <mergeCell ref="F7:G7"/>
    <mergeCell ref="D6:E6"/>
    <mergeCell ref="D7:D8"/>
    <mergeCell ref="Y7:Y8"/>
    <mergeCell ref="J7:J8"/>
    <mergeCell ref="AA7:AA8"/>
    <mergeCell ref="AG7:AG8"/>
    <mergeCell ref="AB7:AB8"/>
    <mergeCell ref="U7:V7"/>
    <mergeCell ref="W7:X7"/>
    <mergeCell ref="M7:N7"/>
    <mergeCell ref="H7:I7"/>
    <mergeCell ref="A5:B5"/>
    <mergeCell ref="T7:T8"/>
    <mergeCell ref="C7:C8"/>
    <mergeCell ref="E7:E8"/>
    <mergeCell ref="A1:AH1"/>
    <mergeCell ref="K7:K8"/>
    <mergeCell ref="AC7:AC8"/>
    <mergeCell ref="AD7:AD8"/>
    <mergeCell ref="AF7:AF8"/>
    <mergeCell ref="AH7:AH8"/>
    <mergeCell ref="Q7:Q8"/>
    <mergeCell ref="A4:B4"/>
    <mergeCell ref="B7:B8"/>
    <mergeCell ref="L7:L8"/>
    <mergeCell ref="AE7:AE8"/>
  </mergeCells>
  <dataValidations count="4">
    <dataValidation sqref="D6" showDropDown="0" showInputMessage="0" showErrorMessage="1" allowBlank="1" type="list">
      <formula1>'Listคก.งาน'!$K$31:$K$49</formula1>
    </dataValidation>
    <dataValidation sqref="F4" showDropDown="1" showInputMessage="0" showErrorMessage="0" allowBlank="1" type="list">
      <formula1>'Listคก.งาน'!$V$2:$V$11</formula1>
    </dataValidation>
    <dataValidation sqref="F6" showDropDown="0" showInputMessage="0" showErrorMessage="1" allowBlank="1" type="list">
      <formula1>'Listคก.งาน'!$M$31:$M$49</formula1>
    </dataValidation>
    <dataValidation sqref="D12:D31 D33:D52 D54:D73 D75:D94 D96:D115 D117:D136 D138:D157 D159:D178 D180:D199 D201:D220 D222:D241 D243:D262 D264:D283 D285:D304 D306:D325 D327:D346 D348:D367 D369:D388 D390:D409 D411:D430" showDropDown="0" showInputMessage="0" showErrorMessage="1" allowBlank="1" type="list">
      <formula1>ListFP!$E$2:$E430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C78D8"/>
    <outlinePr summaryBelow="0" summaryRight="0"/>
    <pageSetUpPr/>
  </sheetPr>
  <dimension ref="A1:R45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592" min="1" max="1"/>
    <col width="34.75" customWidth="1" style="592" min="2" max="2"/>
    <col width="11.5" customWidth="1" style="592" min="3" max="3"/>
    <col width="13.75" customWidth="1" style="592" min="4" max="4"/>
    <col width="8.630000000000001" customWidth="1" style="592" min="5" max="16"/>
    <col width="22.88" customWidth="1" style="592" min="17" max="17"/>
    <col width="14.88" customWidth="1" style="592" min="18" max="18"/>
  </cols>
  <sheetData>
    <row r="1" ht="48.75" customHeight="1" s="592">
      <c r="A1" s="258" t="n"/>
      <c r="R1" s="548" t="n"/>
    </row>
    <row r="2" ht="18.75" customHeight="1" s="592">
      <c r="A2" s="260" t="inlineStr">
        <is>
          <t>แผนการดำเนินงานและแผนการใช้จ่ายงบประมาณ</t>
        </is>
      </c>
      <c r="C2" s="260" t="n"/>
      <c r="D2" s="260" t="n"/>
      <c r="E2" s="261" t="inlineStr">
        <is>
          <t>แผนการดำเนินงาน = เลือกเดือนที่จะดำเนินงาน | แผนการใช้จ่าย = ระบุวงเงินที่คาดว่าจะใช้จ่ายตามเดือน</t>
        </is>
      </c>
      <c r="F2" s="261" t="n"/>
      <c r="G2" s="261" t="n"/>
      <c r="H2" s="261" t="n"/>
      <c r="I2" s="261" t="n"/>
      <c r="J2" s="261" t="n"/>
      <c r="K2" s="261" t="n"/>
      <c r="L2" s="261" t="n"/>
      <c r="M2" s="261" t="n"/>
      <c r="N2" s="261" t="n"/>
      <c r="O2" s="260" t="n"/>
      <c r="P2" s="260" t="n"/>
      <c r="Q2" s="260" t="n"/>
      <c r="R2" s="180" t="n"/>
    </row>
    <row r="3">
      <c r="A3" s="262" t="inlineStr">
        <is>
          <t>รหัสรายการ
งบประมาณ</t>
        </is>
      </c>
      <c r="B3" s="262" t="inlineStr">
        <is>
          <t>ชื่อรายการงบประมาณ</t>
        </is>
      </c>
      <c r="C3" s="263" t="inlineStr">
        <is>
          <t>งบประมาณ
(บาท)</t>
        </is>
      </c>
      <c r="D3" s="265" t="inlineStr">
        <is>
          <t>แผน</t>
        </is>
      </c>
      <c r="E3" s="265" t="inlineStr">
        <is>
          <t>ต.ค.69</t>
        </is>
      </c>
      <c r="F3" s="265" t="inlineStr">
        <is>
          <t>พ.ย.69</t>
        </is>
      </c>
      <c r="G3" s="265" t="inlineStr">
        <is>
          <t>ธ.ค.69</t>
        </is>
      </c>
      <c r="H3" s="265" t="inlineStr">
        <is>
          <t>ม.ค.70</t>
        </is>
      </c>
      <c r="I3" s="265" t="inlineStr">
        <is>
          <t>ก.พ.70</t>
        </is>
      </c>
      <c r="J3" s="265" t="inlineStr">
        <is>
          <t>มี.ค.70</t>
        </is>
      </c>
      <c r="K3" s="265" t="inlineStr">
        <is>
          <t>เม.ย.70</t>
        </is>
      </c>
      <c r="L3" s="265" t="inlineStr">
        <is>
          <t>พ.ค.70</t>
        </is>
      </c>
      <c r="M3" s="265" t="inlineStr">
        <is>
          <t>มิ.ย.70</t>
        </is>
      </c>
      <c r="N3" s="265" t="inlineStr">
        <is>
          <t>ก.ค.70</t>
        </is>
      </c>
      <c r="O3" s="265" t="inlineStr">
        <is>
          <t>ส.ค.70</t>
        </is>
      </c>
      <c r="P3" s="265" t="inlineStr">
        <is>
          <t>ก.ย.70</t>
        </is>
      </c>
      <c r="Q3" s="265" t="inlineStr">
        <is>
          <t>หมายเหตุ</t>
        </is>
      </c>
      <c r="R3" s="548" t="n"/>
    </row>
    <row r="4">
      <c r="A4" s="266">
        <f>IFERROR(__xludf.DUMMYFUNCTION("IFERROR(QUERY('รายการงบประมาณ'!$A$2:$F$2,""SELECT A,B,E""))"),"")</f>
        <v/>
      </c>
      <c r="B4" s="267" t="n"/>
      <c r="C4" s="268" t="n"/>
      <c r="D4" s="271" t="inlineStr">
        <is>
          <t>แผนการดำเนินงาน</t>
        </is>
      </c>
      <c r="E4" s="281" t="b">
        <v>0</v>
      </c>
      <c r="F4" s="281" t="b">
        <v>0</v>
      </c>
      <c r="G4" s="281" t="b">
        <v>0</v>
      </c>
      <c r="H4" s="281" t="b">
        <v>0</v>
      </c>
      <c r="I4" s="281" t="b">
        <v>0</v>
      </c>
      <c r="J4" s="281" t="b">
        <v>0</v>
      </c>
      <c r="K4" s="281" t="b">
        <v>0</v>
      </c>
      <c r="L4" s="281" t="b">
        <v>0</v>
      </c>
      <c r="M4" s="281" t="b">
        <v>0</v>
      </c>
      <c r="N4" s="281" t="b">
        <v>0</v>
      </c>
      <c r="O4" s="281" t="b">
        <v>0</v>
      </c>
      <c r="P4" s="281" t="b">
        <v>0</v>
      </c>
      <c r="Q4" s="271" t="n"/>
      <c r="R4" s="548" t="n"/>
    </row>
    <row r="5">
      <c r="A5" s="272">
        <f>A4</f>
        <v/>
      </c>
      <c r="B5" s="273">
        <f>B4</f>
        <v/>
      </c>
      <c r="C5" s="274">
        <f>C4</f>
        <v/>
      </c>
      <c r="D5" s="278" t="inlineStr">
        <is>
          <t>แผนการใช้จ่าย</t>
        </is>
      </c>
      <c r="E5" s="277" t="n"/>
      <c r="F5" s="277" t="n"/>
      <c r="G5" s="277" t="n"/>
      <c r="H5" s="277" t="n"/>
      <c r="I5" s="277" t="n"/>
      <c r="J5" s="277" t="n"/>
      <c r="K5" s="277" t="n"/>
      <c r="L5" s="277" t="n"/>
      <c r="M5" s="277" t="n"/>
      <c r="N5" s="277" t="n"/>
      <c r="O5" s="277" t="n"/>
      <c r="P5" s="277" t="n"/>
      <c r="Q5" s="278" t="n"/>
      <c r="R5" s="548">
        <f>IF(C5=0,"",IFS(C5&gt;SUM(E5:P5),"วงเงินขาด "&amp;SUM(E5:P5)-C5,C5&lt;SUM(E5:P5),"วงเงินเกิน "&amp;SUM(E5:P5)-C5,C5=SUM(E5:P5),""))</f>
        <v/>
      </c>
    </row>
    <row r="6">
      <c r="A6" s="279">
        <f>IFERROR(__xludf.DUMMYFUNCTION("IFERROR(QUERY('รายการงบประมาณ'!$A$3:$F$3,""SELECT A,B,E""))"),"")</f>
        <v/>
      </c>
      <c r="B6" s="280" t="n"/>
      <c r="C6" s="268" t="n"/>
      <c r="D6" s="271" t="inlineStr">
        <is>
          <t>แผนการดำเนินงาน</t>
        </is>
      </c>
      <c r="E6" s="281" t="b">
        <v>0</v>
      </c>
      <c r="F6" s="281" t="b">
        <v>0</v>
      </c>
      <c r="G6" s="281" t="b">
        <v>0</v>
      </c>
      <c r="H6" s="281" t="b">
        <v>0</v>
      </c>
      <c r="I6" s="281" t="b">
        <v>0</v>
      </c>
      <c r="J6" s="282" t="b">
        <v>0</v>
      </c>
      <c r="K6" s="282" t="b">
        <v>0</v>
      </c>
      <c r="L6" s="281" t="b">
        <v>0</v>
      </c>
      <c r="M6" s="281" t="b">
        <v>0</v>
      </c>
      <c r="N6" s="281" t="b">
        <v>0</v>
      </c>
      <c r="O6" s="281" t="b">
        <v>0</v>
      </c>
      <c r="P6" s="281" t="b">
        <v>0</v>
      </c>
      <c r="Q6" s="271" t="n"/>
      <c r="R6" s="548" t="n"/>
    </row>
    <row r="7">
      <c r="A7" s="283">
        <f>A6</f>
        <v/>
      </c>
      <c r="B7" s="284">
        <f>B6</f>
        <v/>
      </c>
      <c r="C7" s="274">
        <f>C6</f>
        <v/>
      </c>
      <c r="D7" s="278" t="inlineStr">
        <is>
          <t>แผนการใช้จ่าย</t>
        </is>
      </c>
      <c r="E7" s="277" t="n"/>
      <c r="F7" s="277" t="n"/>
      <c r="G7" s="277" t="n"/>
      <c r="H7" s="277" t="n"/>
      <c r="I7" s="277" t="n"/>
      <c r="J7" s="277" t="n"/>
      <c r="K7" s="277" t="n"/>
      <c r="L7" s="277" t="n"/>
      <c r="M7" s="277" t="n"/>
      <c r="N7" s="277" t="n"/>
      <c r="O7" s="277" t="n"/>
      <c r="P7" s="277" t="n"/>
      <c r="Q7" s="278" t="n"/>
      <c r="R7" s="548">
        <f>IF(C7=0,"",IFS(C7&gt;SUM(E7:P7),"วงเงินขาด "&amp;SUM(E7:P7)-C7,C7&lt;SUM(E7:P7),"วงเงินเกิน "&amp;SUM(E7:P7)-C7,C7=SUM(E7:P7),""))</f>
        <v/>
      </c>
    </row>
    <row r="8">
      <c r="A8" s="279">
        <f>IFERROR(__xludf.DUMMYFUNCTION("IFERROR(QUERY('รายการงบประมาณ'!$A$4:$F$4,""SELECT A,B,E""))"),"")</f>
        <v/>
      </c>
      <c r="B8" s="280" t="n"/>
      <c r="C8" s="268" t="n"/>
      <c r="D8" s="271" t="inlineStr">
        <is>
          <t>แผนการดำเนินงาน</t>
        </is>
      </c>
      <c r="E8" s="281" t="b">
        <v>0</v>
      </c>
      <c r="F8" s="281" t="b">
        <v>0</v>
      </c>
      <c r="G8" s="281" t="b">
        <v>0</v>
      </c>
      <c r="H8" s="281" t="b">
        <v>0</v>
      </c>
      <c r="I8" s="281" t="b">
        <v>0</v>
      </c>
      <c r="J8" s="282" t="b">
        <v>0</v>
      </c>
      <c r="K8" s="282" t="b">
        <v>0</v>
      </c>
      <c r="L8" s="281" t="b">
        <v>0</v>
      </c>
      <c r="M8" s="281" t="b">
        <v>0</v>
      </c>
      <c r="N8" s="281" t="b">
        <v>0</v>
      </c>
      <c r="O8" s="281" t="b">
        <v>0</v>
      </c>
      <c r="P8" s="281" t="b">
        <v>0</v>
      </c>
      <c r="Q8" s="271" t="n"/>
      <c r="R8" s="548" t="n"/>
    </row>
    <row r="9">
      <c r="A9" s="283">
        <f>A8</f>
        <v/>
      </c>
      <c r="B9" s="284">
        <f>B8</f>
        <v/>
      </c>
      <c r="C9" s="274">
        <f>C8</f>
        <v/>
      </c>
      <c r="D9" s="278" t="inlineStr">
        <is>
          <t>แผนการใช้จ่าย</t>
        </is>
      </c>
      <c r="E9" s="277" t="n"/>
      <c r="F9" s="277" t="n"/>
      <c r="G9" s="277" t="n"/>
      <c r="H9" s="277" t="n"/>
      <c r="I9" s="277" t="n"/>
      <c r="J9" s="277" t="n"/>
      <c r="K9" s="277" t="n"/>
      <c r="L9" s="277" t="n"/>
      <c r="M9" s="277" t="n"/>
      <c r="N9" s="277" t="n"/>
      <c r="O9" s="277" t="n"/>
      <c r="P9" s="277" t="n"/>
      <c r="Q9" s="278" t="n"/>
      <c r="R9" s="548">
        <f>IF(C9=0,"",IFS(C9&gt;SUM(E9:P9),"วงเงินขาด "&amp;SUM(E9:P9)-C9,C9&lt;SUM(E9:P9),"วงเงินเกิน "&amp;SUM(E9:P9)-C9,C9=SUM(E9:P9),""))</f>
        <v/>
      </c>
    </row>
    <row r="10">
      <c r="A10" s="279">
        <f>IFERROR(__xludf.DUMMYFUNCTION("IFERROR(QUERY('รายการงบประมาณ'!$A$5:$F$5,""SELECT A,B,E""))"),"")</f>
        <v/>
      </c>
      <c r="B10" s="280" t="n"/>
      <c r="C10" s="268" t="n"/>
      <c r="D10" s="271" t="inlineStr">
        <is>
          <t>แผนการดำเนินงาน</t>
        </is>
      </c>
      <c r="E10" s="281" t="b">
        <v>0</v>
      </c>
      <c r="F10" s="281" t="b">
        <v>0</v>
      </c>
      <c r="G10" s="281" t="b">
        <v>0</v>
      </c>
      <c r="H10" s="281" t="b">
        <v>0</v>
      </c>
      <c r="I10" s="281" t="b">
        <v>0</v>
      </c>
      <c r="J10" s="282" t="b">
        <v>0</v>
      </c>
      <c r="K10" s="282" t="b">
        <v>0</v>
      </c>
      <c r="L10" s="281" t="b">
        <v>0</v>
      </c>
      <c r="M10" s="281" t="b">
        <v>0</v>
      </c>
      <c r="N10" s="281" t="b">
        <v>0</v>
      </c>
      <c r="O10" s="281" t="b">
        <v>0</v>
      </c>
      <c r="P10" s="281" t="b">
        <v>0</v>
      </c>
      <c r="Q10" s="271" t="n"/>
      <c r="R10" s="548" t="n"/>
    </row>
    <row r="11">
      <c r="A11" s="283">
        <f>A10</f>
        <v/>
      </c>
      <c r="B11" s="284">
        <f>B10</f>
        <v/>
      </c>
      <c r="C11" s="274">
        <f>C10</f>
        <v/>
      </c>
      <c r="D11" s="278" t="inlineStr">
        <is>
          <t>แผนการใช้จ่าย</t>
        </is>
      </c>
      <c r="E11" s="277" t="n"/>
      <c r="F11" s="277" t="n"/>
      <c r="G11" s="277" t="n"/>
      <c r="H11" s="277" t="n"/>
      <c r="I11" s="277" t="n"/>
      <c r="J11" s="277" t="n"/>
      <c r="K11" s="277" t="n"/>
      <c r="L11" s="277" t="n"/>
      <c r="M11" s="277" t="n"/>
      <c r="N11" s="277" t="n"/>
      <c r="O11" s="277" t="n"/>
      <c r="P11" s="277" t="n"/>
      <c r="Q11" s="278" t="n"/>
      <c r="R11" s="548">
        <f>IF(C11=0,"",IFS(C11&gt;SUM(E11:P11),"วงเงินขาด "&amp;SUM(E11:P11)-C11,C11&lt;SUM(E11:P11),"วงเงินเกิน "&amp;SUM(E11:P11)-C11,C11=SUM(E11:P11),""))</f>
        <v/>
      </c>
    </row>
    <row r="12">
      <c r="A12" s="279">
        <f>IFERROR(__xludf.DUMMYFUNCTION("IFERROR(QUERY('รายการงบประมาณ'!$A$6:$F$6,""SELECT A,B,E""))"),"")</f>
        <v/>
      </c>
      <c r="B12" s="280" t="n"/>
      <c r="C12" s="268" t="n"/>
      <c r="D12" s="271" t="inlineStr">
        <is>
          <t>แผนการดำเนินงาน</t>
        </is>
      </c>
      <c r="E12" s="281" t="b">
        <v>0</v>
      </c>
      <c r="F12" s="281" t="b">
        <v>0</v>
      </c>
      <c r="G12" s="281" t="b">
        <v>0</v>
      </c>
      <c r="H12" s="281" t="b">
        <v>0</v>
      </c>
      <c r="I12" s="281" t="b">
        <v>0</v>
      </c>
      <c r="J12" s="282" t="b">
        <v>0</v>
      </c>
      <c r="K12" s="282" t="b">
        <v>0</v>
      </c>
      <c r="L12" s="281" t="b">
        <v>0</v>
      </c>
      <c r="M12" s="281" t="b">
        <v>0</v>
      </c>
      <c r="N12" s="281" t="b">
        <v>0</v>
      </c>
      <c r="O12" s="281" t="b">
        <v>0</v>
      </c>
      <c r="P12" s="281" t="b">
        <v>0</v>
      </c>
      <c r="Q12" s="271" t="n"/>
      <c r="R12" s="548" t="n"/>
    </row>
    <row r="13">
      <c r="A13" s="283">
        <f>A12</f>
        <v/>
      </c>
      <c r="B13" s="284">
        <f>B12</f>
        <v/>
      </c>
      <c r="C13" s="274">
        <f>C12</f>
        <v/>
      </c>
      <c r="D13" s="278" t="inlineStr">
        <is>
          <t>แผนการใช้จ่าย</t>
        </is>
      </c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  <c r="N13" s="277" t="n"/>
      <c r="O13" s="277" t="n"/>
      <c r="P13" s="277" t="n"/>
      <c r="Q13" s="278" t="n"/>
      <c r="R13" s="548">
        <f>IF(C13=0,"",IFS(C13&gt;SUM(E13:P13),"วงเงินขาด "&amp;SUM(E13:P13)-C13,C13&lt;SUM(E13:P13),"วงเงินเกิน "&amp;SUM(E13:P13)-C13,C13=SUM(E13:P13),""))</f>
        <v/>
      </c>
    </row>
    <row r="14">
      <c r="A14" s="279">
        <f>IFERROR(__xludf.DUMMYFUNCTION("IFERROR(QUERY('รายการงบประมาณ'!$A$7:$F$7,""SELECT A,B,E""))"),"")</f>
        <v/>
      </c>
      <c r="B14" s="280" t="n"/>
      <c r="C14" s="268" t="n"/>
      <c r="D14" s="271" t="inlineStr">
        <is>
          <t>แผนการดำเนินงาน</t>
        </is>
      </c>
      <c r="E14" s="281" t="b">
        <v>0</v>
      </c>
      <c r="F14" s="281" t="b">
        <v>0</v>
      </c>
      <c r="G14" s="281" t="b">
        <v>0</v>
      </c>
      <c r="H14" s="281" t="b">
        <v>0</v>
      </c>
      <c r="I14" s="281" t="b">
        <v>0</v>
      </c>
      <c r="J14" s="282" t="b">
        <v>0</v>
      </c>
      <c r="K14" s="282" t="b">
        <v>0</v>
      </c>
      <c r="L14" s="281" t="b">
        <v>0</v>
      </c>
      <c r="M14" s="281" t="b">
        <v>0</v>
      </c>
      <c r="N14" s="281" t="b">
        <v>0</v>
      </c>
      <c r="O14" s="281" t="b">
        <v>0</v>
      </c>
      <c r="P14" s="281" t="b">
        <v>0</v>
      </c>
      <c r="Q14" s="271" t="n"/>
      <c r="R14" s="548" t="n"/>
    </row>
    <row r="15">
      <c r="A15" s="283">
        <f>A14</f>
        <v/>
      </c>
      <c r="B15" s="284">
        <f>B14</f>
        <v/>
      </c>
      <c r="C15" s="274">
        <f>C14</f>
        <v/>
      </c>
      <c r="D15" s="278" t="inlineStr">
        <is>
          <t>แผนการใช้จ่าย</t>
        </is>
      </c>
      <c r="E15" s="277" t="n"/>
      <c r="F15" s="277" t="n"/>
      <c r="G15" s="277" t="n"/>
      <c r="H15" s="277" t="n"/>
      <c r="I15" s="277" t="n"/>
      <c r="J15" s="277" t="n"/>
      <c r="K15" s="277" t="n"/>
      <c r="L15" s="277" t="n"/>
      <c r="M15" s="277" t="n"/>
      <c r="N15" s="277" t="n"/>
      <c r="O15" s="277" t="n"/>
      <c r="P15" s="277" t="n"/>
      <c r="Q15" s="278" t="n"/>
      <c r="R15" s="548">
        <f>IF(C15=0,"",IFS(C15&gt;SUM(E15:P15),"วงเงินขาด "&amp;SUM(E15:P15)-C15,C15&lt;SUM(E15:P15),"วงเงินเกิน "&amp;SUM(E15:P15)-C15,C15=SUM(E15:P15),""))</f>
        <v/>
      </c>
    </row>
    <row r="16">
      <c r="A16" s="279">
        <f>IFERROR(__xludf.DUMMYFUNCTION("IFERROR(QUERY('รายการงบประมาณ'!$A$8:$F$8,""SELECT A,B,E""))"),"")</f>
        <v/>
      </c>
      <c r="B16" s="280" t="n"/>
      <c r="C16" s="268" t="n"/>
      <c r="D16" s="271" t="inlineStr">
        <is>
          <t>แผนการดำเนินงาน</t>
        </is>
      </c>
      <c r="E16" s="281" t="b">
        <v>0</v>
      </c>
      <c r="F16" s="281" t="b">
        <v>0</v>
      </c>
      <c r="G16" s="281" t="b">
        <v>0</v>
      </c>
      <c r="H16" s="281" t="b">
        <v>0</v>
      </c>
      <c r="I16" s="281" t="b">
        <v>0</v>
      </c>
      <c r="J16" s="282" t="b">
        <v>0</v>
      </c>
      <c r="K16" s="282" t="b">
        <v>0</v>
      </c>
      <c r="L16" s="281" t="b">
        <v>0</v>
      </c>
      <c r="M16" s="281" t="b">
        <v>0</v>
      </c>
      <c r="N16" s="281" t="b">
        <v>0</v>
      </c>
      <c r="O16" s="281" t="b">
        <v>0</v>
      </c>
      <c r="P16" s="281" t="b">
        <v>0</v>
      </c>
      <c r="Q16" s="271" t="n"/>
      <c r="R16" s="548" t="n"/>
    </row>
    <row r="17">
      <c r="A17" s="283">
        <f>A16</f>
        <v/>
      </c>
      <c r="B17" s="284">
        <f>B16</f>
        <v/>
      </c>
      <c r="C17" s="274">
        <f>C16</f>
        <v/>
      </c>
      <c r="D17" s="278" t="inlineStr">
        <is>
          <t>แผนการใช้จ่าย</t>
        </is>
      </c>
      <c r="E17" s="277" t="n"/>
      <c r="F17" s="277" t="n"/>
      <c r="G17" s="277" t="n"/>
      <c r="H17" s="277" t="n"/>
      <c r="I17" s="277" t="n"/>
      <c r="J17" s="277" t="n"/>
      <c r="K17" s="277" t="n"/>
      <c r="L17" s="277" t="n"/>
      <c r="M17" s="277" t="n"/>
      <c r="N17" s="277" t="n"/>
      <c r="O17" s="277" t="n"/>
      <c r="P17" s="277" t="n"/>
      <c r="Q17" s="278" t="n"/>
      <c r="R17" s="548">
        <f>IF(C17=0,"",IFS(C17&gt;SUM(E17:P17),"วงเงินขาด "&amp;SUM(E17:P17)-C17,C17&lt;SUM(E17:P17),"วงเงินเกิน "&amp;SUM(E17:P17)-C17,C17=SUM(E17:P17),""))</f>
        <v/>
      </c>
    </row>
    <row r="18">
      <c r="A18" s="279">
        <f>IFERROR(__xludf.DUMMYFUNCTION("IFERROR(QUERY('รายการงบประมาณ'!$A$9:$F$9,""SELECT A,B,E""))"),"")</f>
        <v/>
      </c>
      <c r="B18" s="280" t="n"/>
      <c r="C18" s="268" t="n"/>
      <c r="D18" s="271" t="inlineStr">
        <is>
          <t>แผนการดำเนินงาน</t>
        </is>
      </c>
      <c r="E18" s="281" t="b">
        <v>0</v>
      </c>
      <c r="F18" s="281" t="b">
        <v>0</v>
      </c>
      <c r="G18" s="281" t="b">
        <v>0</v>
      </c>
      <c r="H18" s="281" t="b">
        <v>0</v>
      </c>
      <c r="I18" s="281" t="b">
        <v>0</v>
      </c>
      <c r="J18" s="282" t="b">
        <v>0</v>
      </c>
      <c r="K18" s="282" t="b">
        <v>0</v>
      </c>
      <c r="L18" s="281" t="b">
        <v>0</v>
      </c>
      <c r="M18" s="281" t="b">
        <v>0</v>
      </c>
      <c r="N18" s="281" t="b">
        <v>0</v>
      </c>
      <c r="O18" s="281" t="b">
        <v>0</v>
      </c>
      <c r="P18" s="281" t="b">
        <v>0</v>
      </c>
      <c r="Q18" s="271" t="n"/>
      <c r="R18" s="548" t="n"/>
    </row>
    <row r="19">
      <c r="A19" s="283">
        <f>A18</f>
        <v/>
      </c>
      <c r="B19" s="284">
        <f>B18</f>
        <v/>
      </c>
      <c r="C19" s="274">
        <f>C18</f>
        <v/>
      </c>
      <c r="D19" s="278" t="inlineStr">
        <is>
          <t>แผนการใช้จ่าย</t>
        </is>
      </c>
      <c r="E19" s="277" t="n"/>
      <c r="F19" s="277" t="n"/>
      <c r="G19" s="277" t="n"/>
      <c r="H19" s="277" t="n"/>
      <c r="I19" s="277" t="n"/>
      <c r="J19" s="277" t="n"/>
      <c r="K19" s="277" t="n"/>
      <c r="L19" s="277" t="n"/>
      <c r="M19" s="277" t="n"/>
      <c r="N19" s="277" t="n"/>
      <c r="O19" s="277" t="n"/>
      <c r="P19" s="277" t="n"/>
      <c r="Q19" s="278" t="n"/>
      <c r="R19" s="548">
        <f>IF(C19=0,"",IFS(C19&gt;SUM(E19:P19),"วงเงินขาด "&amp;SUM(E19:P19)-C19,C19&lt;SUM(E19:P19),"วงเงินเกิน "&amp;SUM(E19:P19)-C19,C19=SUM(E19:P19),""))</f>
        <v/>
      </c>
    </row>
    <row r="20">
      <c r="A20" s="279">
        <f>IFERROR(__xludf.DUMMYFUNCTION("IFERROR(QUERY('รายการงบประมาณ'!$A$10:$F$10,""SELECT A,B,E""))"),"")</f>
        <v/>
      </c>
      <c r="B20" s="280" t="n"/>
      <c r="C20" s="268" t="n"/>
      <c r="D20" s="271" t="inlineStr">
        <is>
          <t>แผนการดำเนินงาน</t>
        </is>
      </c>
      <c r="E20" s="281" t="b">
        <v>0</v>
      </c>
      <c r="F20" s="281" t="b">
        <v>0</v>
      </c>
      <c r="G20" s="281" t="b">
        <v>0</v>
      </c>
      <c r="H20" s="281" t="b">
        <v>0</v>
      </c>
      <c r="I20" s="281" t="b">
        <v>0</v>
      </c>
      <c r="J20" s="282" t="b">
        <v>0</v>
      </c>
      <c r="K20" s="282" t="b">
        <v>0</v>
      </c>
      <c r="L20" s="281" t="b">
        <v>0</v>
      </c>
      <c r="M20" s="281" t="b">
        <v>0</v>
      </c>
      <c r="N20" s="281" t="b">
        <v>0</v>
      </c>
      <c r="O20" s="281" t="b">
        <v>0</v>
      </c>
      <c r="P20" s="281" t="b">
        <v>0</v>
      </c>
      <c r="Q20" s="271" t="n"/>
      <c r="R20" s="548" t="n"/>
    </row>
    <row r="21">
      <c r="A21" s="283">
        <f>A20</f>
        <v/>
      </c>
      <c r="B21" s="284">
        <f>B20</f>
        <v/>
      </c>
      <c r="C21" s="274">
        <f>C20</f>
        <v/>
      </c>
      <c r="D21" s="278" t="inlineStr">
        <is>
          <t>แผนการใช้จ่าย</t>
        </is>
      </c>
      <c r="E21" s="277" t="n"/>
      <c r="F21" s="277" t="n"/>
      <c r="G21" s="277" t="n"/>
      <c r="H21" s="277" t="n"/>
      <c r="I21" s="277" t="n"/>
      <c r="J21" s="277" t="n"/>
      <c r="K21" s="277" t="n"/>
      <c r="L21" s="277" t="n"/>
      <c r="M21" s="277" t="n"/>
      <c r="N21" s="277" t="n"/>
      <c r="O21" s="277" t="n"/>
      <c r="P21" s="277" t="n"/>
      <c r="Q21" s="278" t="n"/>
      <c r="R21" s="548">
        <f>IF(C21=0,"",IFS(C21&gt;SUM(E21:P21),"วงเงินขาด "&amp;SUM(E21:P21)-C21,C21&lt;SUM(E21:P21),"วงเงินเกิน "&amp;SUM(E21:P21)-C21,C21=SUM(E21:P21),""))</f>
        <v/>
      </c>
    </row>
    <row r="22">
      <c r="A22" s="279">
        <f>IFERROR(__xludf.DUMMYFUNCTION("IFERROR(QUERY('รายการงบประมาณ'!$A$11:$F$11,""SELECT A,B,E""))"),"")</f>
        <v/>
      </c>
      <c r="B22" s="280" t="n"/>
      <c r="C22" s="268" t="n"/>
      <c r="D22" s="271" t="inlineStr">
        <is>
          <t>แผนการดำเนินงาน</t>
        </is>
      </c>
      <c r="E22" s="281" t="b">
        <v>0</v>
      </c>
      <c r="F22" s="281" t="b">
        <v>0</v>
      </c>
      <c r="G22" s="281" t="b">
        <v>0</v>
      </c>
      <c r="H22" s="281" t="b">
        <v>0</v>
      </c>
      <c r="I22" s="281" t="b">
        <v>0</v>
      </c>
      <c r="J22" s="282" t="b">
        <v>0</v>
      </c>
      <c r="K22" s="282" t="b">
        <v>0</v>
      </c>
      <c r="L22" s="281" t="b">
        <v>0</v>
      </c>
      <c r="M22" s="281" t="b">
        <v>0</v>
      </c>
      <c r="N22" s="281" t="b">
        <v>0</v>
      </c>
      <c r="O22" s="281" t="b">
        <v>0</v>
      </c>
      <c r="P22" s="281" t="b">
        <v>0</v>
      </c>
      <c r="Q22" s="271" t="n"/>
      <c r="R22" s="548" t="n"/>
    </row>
    <row r="23">
      <c r="A23" s="283">
        <f>A22</f>
        <v/>
      </c>
      <c r="B23" s="284">
        <f>B22</f>
        <v/>
      </c>
      <c r="C23" s="274">
        <f>C22</f>
        <v/>
      </c>
      <c r="D23" s="278" t="inlineStr">
        <is>
          <t>แผนการใช้จ่าย</t>
        </is>
      </c>
      <c r="E23" s="277" t="n"/>
      <c r="F23" s="277" t="n"/>
      <c r="G23" s="277" t="n"/>
      <c r="H23" s="277" t="n"/>
      <c r="I23" s="277" t="n"/>
      <c r="J23" s="277" t="n"/>
      <c r="K23" s="277" t="n"/>
      <c r="L23" s="277" t="n"/>
      <c r="M23" s="277" t="n"/>
      <c r="N23" s="277" t="n"/>
      <c r="O23" s="277" t="n"/>
      <c r="P23" s="277" t="n"/>
      <c r="Q23" s="278" t="n"/>
      <c r="R23" s="548">
        <f>IF(C23=0,"",IFS(C23&gt;SUM(E23:P23),"วงเงินขาด "&amp;SUM(E23:P23)-C23,C23&lt;SUM(E23:P23),"วงเงินเกิน "&amp;SUM(E23:P23)-C23,C23=SUM(E23:P23),""))</f>
        <v/>
      </c>
    </row>
    <row r="24">
      <c r="A24" s="279">
        <f>IFERROR(__xludf.DUMMYFUNCTION("IFERROR(QUERY('รายการงบประมาณ'!$A$12:$F$12,""SELECT A,B,E""))"),"")</f>
        <v/>
      </c>
      <c r="B24" s="280" t="n"/>
      <c r="C24" s="268" t="n"/>
      <c r="D24" s="271" t="inlineStr">
        <is>
          <t>แผนการดำเนินงาน</t>
        </is>
      </c>
      <c r="E24" s="281" t="b">
        <v>0</v>
      </c>
      <c r="F24" s="281" t="b">
        <v>0</v>
      </c>
      <c r="G24" s="281" t="b">
        <v>0</v>
      </c>
      <c r="H24" s="281" t="b">
        <v>0</v>
      </c>
      <c r="I24" s="281" t="b">
        <v>0</v>
      </c>
      <c r="J24" s="282" t="b">
        <v>0</v>
      </c>
      <c r="K24" s="282" t="b">
        <v>0</v>
      </c>
      <c r="L24" s="281" t="b">
        <v>0</v>
      </c>
      <c r="M24" s="281" t="b">
        <v>0</v>
      </c>
      <c r="N24" s="281" t="b">
        <v>0</v>
      </c>
      <c r="O24" s="281" t="b">
        <v>0</v>
      </c>
      <c r="P24" s="281" t="b">
        <v>0</v>
      </c>
      <c r="Q24" s="271" t="n"/>
      <c r="R24" s="548" t="n"/>
    </row>
    <row r="25">
      <c r="A25" s="283">
        <f>A24</f>
        <v/>
      </c>
      <c r="B25" s="284">
        <f>B24</f>
        <v/>
      </c>
      <c r="C25" s="274">
        <f>C24</f>
        <v/>
      </c>
      <c r="D25" s="278" t="inlineStr">
        <is>
          <t>แผนการใช้จ่าย</t>
        </is>
      </c>
      <c r="E25" s="277" t="n"/>
      <c r="F25" s="277" t="n"/>
      <c r="G25" s="277" t="n"/>
      <c r="H25" s="277" t="n"/>
      <c r="I25" s="277" t="n"/>
      <c r="J25" s="277" t="n"/>
      <c r="K25" s="277" t="n"/>
      <c r="L25" s="277" t="n"/>
      <c r="M25" s="277" t="n"/>
      <c r="N25" s="277" t="n"/>
      <c r="O25" s="277" t="n"/>
      <c r="P25" s="277" t="n"/>
      <c r="Q25" s="278" t="n"/>
      <c r="R25" s="548">
        <f>IF(C25=0,"",IFS(C25&gt;SUM(E25:P25),"วงเงินขาด "&amp;SUM(E25:P25)-C25,C25&lt;SUM(E25:P25),"วงเงินเกิน "&amp;SUM(E25:P25)-C25,C25=SUM(E25:P25),""))</f>
        <v/>
      </c>
    </row>
    <row r="26">
      <c r="A26" s="279">
        <f>IFERROR(__xludf.DUMMYFUNCTION("IFERROR(QUERY('รายการงบประมาณ'!$A$13:$F$13,""SELECT A,B,E""))"),"")</f>
        <v/>
      </c>
      <c r="B26" s="280" t="n"/>
      <c r="C26" s="268" t="n"/>
      <c r="D26" s="271" t="inlineStr">
        <is>
          <t>แผนการดำเนินงาน</t>
        </is>
      </c>
      <c r="E26" s="281" t="b">
        <v>0</v>
      </c>
      <c r="F26" s="281" t="b">
        <v>0</v>
      </c>
      <c r="G26" s="281" t="b">
        <v>0</v>
      </c>
      <c r="H26" s="281" t="b">
        <v>0</v>
      </c>
      <c r="I26" s="281" t="b">
        <v>0</v>
      </c>
      <c r="J26" s="282" t="b">
        <v>0</v>
      </c>
      <c r="K26" s="282" t="b">
        <v>0</v>
      </c>
      <c r="L26" s="281" t="b">
        <v>0</v>
      </c>
      <c r="M26" s="281" t="b">
        <v>0</v>
      </c>
      <c r="N26" s="281" t="b">
        <v>0</v>
      </c>
      <c r="O26" s="281" t="b">
        <v>0</v>
      </c>
      <c r="P26" s="281" t="b">
        <v>0</v>
      </c>
      <c r="Q26" s="271" t="n"/>
      <c r="R26" s="548" t="n"/>
    </row>
    <row r="27">
      <c r="A27" s="283">
        <f>A26</f>
        <v/>
      </c>
      <c r="B27" s="284">
        <f>B26</f>
        <v/>
      </c>
      <c r="C27" s="274">
        <f>C26</f>
        <v/>
      </c>
      <c r="D27" s="278" t="inlineStr">
        <is>
          <t>แผนการใช้จ่าย</t>
        </is>
      </c>
      <c r="E27" s="277" t="n"/>
      <c r="F27" s="277" t="n"/>
      <c r="G27" s="277" t="n"/>
      <c r="H27" s="277" t="n"/>
      <c r="I27" s="277" t="n"/>
      <c r="J27" s="277" t="n"/>
      <c r="K27" s="277" t="n"/>
      <c r="L27" s="277" t="n"/>
      <c r="M27" s="277" t="n"/>
      <c r="N27" s="277" t="n"/>
      <c r="O27" s="277" t="n"/>
      <c r="P27" s="277" t="n"/>
      <c r="Q27" s="278" t="n"/>
      <c r="R27" s="548">
        <f>IF(C27=0,"",IFS(C27&gt;SUM(E27:P27),"วงเงินขาด "&amp;SUM(E27:P27)-C27,C27&lt;SUM(E27:P27),"วงเงินเกิน "&amp;SUM(E27:P27)-C27,C27=SUM(E27:P27),""))</f>
        <v/>
      </c>
    </row>
    <row r="28">
      <c r="A28" s="279">
        <f>IFERROR(__xludf.DUMMYFUNCTION("IFERROR(QUERY('รายการงบประมาณ'!$A$14:$F$14,""SELECT A,B,E""))"),"")</f>
        <v/>
      </c>
      <c r="B28" s="280" t="n"/>
      <c r="C28" s="268" t="n"/>
      <c r="D28" s="271" t="inlineStr">
        <is>
          <t>แผนการดำเนินงาน</t>
        </is>
      </c>
      <c r="E28" s="281" t="b">
        <v>0</v>
      </c>
      <c r="F28" s="281" t="b">
        <v>0</v>
      </c>
      <c r="G28" s="281" t="b">
        <v>0</v>
      </c>
      <c r="H28" s="281" t="b">
        <v>0</v>
      </c>
      <c r="I28" s="281" t="b">
        <v>0</v>
      </c>
      <c r="J28" s="282" t="b">
        <v>0</v>
      </c>
      <c r="K28" s="282" t="b">
        <v>0</v>
      </c>
      <c r="L28" s="281" t="b">
        <v>0</v>
      </c>
      <c r="M28" s="281" t="b">
        <v>0</v>
      </c>
      <c r="N28" s="281" t="b">
        <v>0</v>
      </c>
      <c r="O28" s="281" t="b">
        <v>0</v>
      </c>
      <c r="P28" s="281" t="b">
        <v>0</v>
      </c>
      <c r="Q28" s="271" t="n"/>
      <c r="R28" s="548" t="n"/>
    </row>
    <row r="29">
      <c r="A29" s="283">
        <f>A28</f>
        <v/>
      </c>
      <c r="B29" s="284">
        <f>B28</f>
        <v/>
      </c>
      <c r="C29" s="274">
        <f>C28</f>
        <v/>
      </c>
      <c r="D29" s="278" t="inlineStr">
        <is>
          <t>แผนการใช้จ่าย</t>
        </is>
      </c>
      <c r="E29" s="277" t="n"/>
      <c r="F29" s="277" t="n"/>
      <c r="G29" s="277" t="n"/>
      <c r="H29" s="277" t="n"/>
      <c r="I29" s="277" t="n"/>
      <c r="J29" s="277" t="n"/>
      <c r="K29" s="277" t="n"/>
      <c r="L29" s="277" t="n"/>
      <c r="M29" s="277" t="n"/>
      <c r="N29" s="277" t="n"/>
      <c r="O29" s="277" t="n"/>
      <c r="P29" s="277" t="n"/>
      <c r="Q29" s="278" t="n"/>
      <c r="R29" s="548">
        <f>IF(C29=0,"",IFS(C29&gt;SUM(E29:P29),"วงเงินขาด "&amp;SUM(E29:P29)-C29,C29&lt;SUM(E29:P29),"วงเงินเกิน "&amp;SUM(E29:P29)-C29,C29=SUM(E29:P29),""))</f>
        <v/>
      </c>
    </row>
    <row r="30">
      <c r="A30" s="279">
        <f>IFERROR(__xludf.DUMMYFUNCTION("IFERROR(QUERY('รายการงบประมาณ'!$A$15:$F$15,""SELECT A,B,E""))"),"")</f>
        <v/>
      </c>
      <c r="B30" s="280" t="n"/>
      <c r="C30" s="268" t="n"/>
      <c r="D30" s="271" t="inlineStr">
        <is>
          <t>แผนการดำเนินงาน</t>
        </is>
      </c>
      <c r="E30" s="281" t="b">
        <v>0</v>
      </c>
      <c r="F30" s="281" t="b">
        <v>0</v>
      </c>
      <c r="G30" s="281" t="b">
        <v>0</v>
      </c>
      <c r="H30" s="281" t="b">
        <v>0</v>
      </c>
      <c r="I30" s="281" t="b">
        <v>0</v>
      </c>
      <c r="J30" s="282" t="b">
        <v>0</v>
      </c>
      <c r="K30" s="282" t="b">
        <v>0</v>
      </c>
      <c r="L30" s="281" t="b">
        <v>0</v>
      </c>
      <c r="M30" s="281" t="b">
        <v>0</v>
      </c>
      <c r="N30" s="281" t="b">
        <v>0</v>
      </c>
      <c r="O30" s="281" t="b">
        <v>0</v>
      </c>
      <c r="P30" s="281" t="b">
        <v>0</v>
      </c>
      <c r="Q30" s="271" t="n"/>
      <c r="R30" s="548" t="n"/>
    </row>
    <row r="31">
      <c r="A31" s="283">
        <f>A30</f>
        <v/>
      </c>
      <c r="B31" s="284">
        <f>B30</f>
        <v/>
      </c>
      <c r="C31" s="274">
        <f>C30</f>
        <v/>
      </c>
      <c r="D31" s="278" t="inlineStr">
        <is>
          <t>แผนการใช้จ่าย</t>
        </is>
      </c>
      <c r="E31" s="277" t="n"/>
      <c r="F31" s="277" t="n"/>
      <c r="G31" s="277" t="n"/>
      <c r="H31" s="277" t="n"/>
      <c r="I31" s="277" t="n"/>
      <c r="J31" s="277" t="n"/>
      <c r="K31" s="277" t="n"/>
      <c r="L31" s="277" t="n"/>
      <c r="M31" s="277" t="n"/>
      <c r="N31" s="277" t="n"/>
      <c r="O31" s="277" t="n"/>
      <c r="P31" s="277" t="n"/>
      <c r="Q31" s="278" t="n"/>
      <c r="R31" s="548">
        <f>IF(C31=0,"",IFS(C31&gt;SUM(E31:P31),"วงเงินขาด "&amp;SUM(E31:P31)-C31,C31&lt;SUM(E31:P31),"วงเงินเกิน "&amp;SUM(E31:P31)-C31,C31=SUM(E31:P31),""))</f>
        <v/>
      </c>
    </row>
    <row r="32">
      <c r="A32" s="279">
        <f>IFERROR(__xludf.DUMMYFUNCTION("IFERROR(QUERY('รายการงบประมาณ'!$A$16:$F$16,""SELECT A,B,E""))"),"")</f>
        <v/>
      </c>
      <c r="B32" s="280" t="n"/>
      <c r="C32" s="268" t="n"/>
      <c r="D32" s="271" t="inlineStr">
        <is>
          <t>แผนการดำเนินงาน</t>
        </is>
      </c>
      <c r="E32" s="281" t="b">
        <v>0</v>
      </c>
      <c r="F32" s="281" t="b">
        <v>0</v>
      </c>
      <c r="G32" s="281" t="b">
        <v>0</v>
      </c>
      <c r="H32" s="281" t="b">
        <v>0</v>
      </c>
      <c r="I32" s="281" t="b">
        <v>0</v>
      </c>
      <c r="J32" s="282" t="b">
        <v>0</v>
      </c>
      <c r="K32" s="282" t="b">
        <v>0</v>
      </c>
      <c r="L32" s="281" t="b">
        <v>0</v>
      </c>
      <c r="M32" s="281" t="b">
        <v>0</v>
      </c>
      <c r="N32" s="281" t="b">
        <v>0</v>
      </c>
      <c r="O32" s="281" t="b">
        <v>0</v>
      </c>
      <c r="P32" s="281" t="b">
        <v>0</v>
      </c>
      <c r="Q32" s="271" t="n"/>
      <c r="R32" s="548" t="n"/>
    </row>
    <row r="33">
      <c r="A33" s="283">
        <f>A32</f>
        <v/>
      </c>
      <c r="B33" s="284">
        <f>B32</f>
        <v/>
      </c>
      <c r="C33" s="274">
        <f>C32</f>
        <v/>
      </c>
      <c r="D33" s="278" t="inlineStr">
        <is>
          <t>แผนการใช้จ่าย</t>
        </is>
      </c>
      <c r="E33" s="277" t="n"/>
      <c r="F33" s="277" t="n"/>
      <c r="G33" s="277" t="n"/>
      <c r="H33" s="277" t="n"/>
      <c r="I33" s="277" t="n"/>
      <c r="J33" s="277" t="n"/>
      <c r="K33" s="277" t="n"/>
      <c r="L33" s="277" t="n"/>
      <c r="M33" s="277" t="n"/>
      <c r="N33" s="277" t="n"/>
      <c r="O33" s="277" t="n"/>
      <c r="P33" s="277" t="n"/>
      <c r="Q33" s="278" t="n"/>
      <c r="R33" s="548">
        <f>IF(C33=0,"",IFS(C33&gt;SUM(E33:P33),"วงเงินขาด "&amp;SUM(E33:P33)-C33,C33&lt;SUM(E33:P33),"วงเงินเกิน "&amp;SUM(E33:P33)-C33,C33=SUM(E33:P33),""))</f>
        <v/>
      </c>
    </row>
    <row r="34">
      <c r="A34" s="279">
        <f>IFERROR(__xludf.DUMMYFUNCTION("IFERROR(QUERY('รายการงบประมาณ'!$A$17:$F$17,""SELECT A,B,E""))"),"")</f>
        <v/>
      </c>
      <c r="B34" s="280" t="n"/>
      <c r="C34" s="268" t="n"/>
      <c r="D34" s="271" t="inlineStr">
        <is>
          <t>แผนการดำเนินงาน</t>
        </is>
      </c>
      <c r="E34" s="281" t="b">
        <v>0</v>
      </c>
      <c r="F34" s="281" t="b">
        <v>0</v>
      </c>
      <c r="G34" s="281" t="b">
        <v>0</v>
      </c>
      <c r="H34" s="281" t="b">
        <v>0</v>
      </c>
      <c r="I34" s="281" t="b">
        <v>0</v>
      </c>
      <c r="J34" s="282" t="b">
        <v>0</v>
      </c>
      <c r="K34" s="282" t="b">
        <v>0</v>
      </c>
      <c r="L34" s="281" t="b">
        <v>0</v>
      </c>
      <c r="M34" s="281" t="b">
        <v>0</v>
      </c>
      <c r="N34" s="281" t="b">
        <v>0</v>
      </c>
      <c r="O34" s="281" t="b">
        <v>0</v>
      </c>
      <c r="P34" s="281" t="b">
        <v>0</v>
      </c>
      <c r="Q34" s="271" t="n"/>
      <c r="R34" s="548" t="n"/>
    </row>
    <row r="35">
      <c r="A35" s="283">
        <f>A34</f>
        <v/>
      </c>
      <c r="B35" s="284">
        <f>B34</f>
        <v/>
      </c>
      <c r="C35" s="274">
        <f>C34</f>
        <v/>
      </c>
      <c r="D35" s="278" t="inlineStr">
        <is>
          <t>แผนการใช้จ่าย</t>
        </is>
      </c>
      <c r="E35" s="277" t="n"/>
      <c r="F35" s="277" t="n"/>
      <c r="G35" s="277" t="n"/>
      <c r="H35" s="277" t="n"/>
      <c r="I35" s="277" t="n"/>
      <c r="J35" s="277" t="n"/>
      <c r="K35" s="277" t="n"/>
      <c r="L35" s="277" t="n"/>
      <c r="M35" s="277" t="n"/>
      <c r="N35" s="277" t="n"/>
      <c r="O35" s="277" t="n"/>
      <c r="P35" s="277" t="n"/>
      <c r="Q35" s="278" t="n"/>
      <c r="R35" s="548">
        <f>IF(C35=0,"",IFS(C35&gt;SUM(E35:P35),"วงเงินขาด "&amp;SUM(E35:P35)-C35,C35&lt;SUM(E35:P35),"วงเงินเกิน "&amp;SUM(E35:P35)-C35,C35=SUM(E35:P35),""))</f>
        <v/>
      </c>
    </row>
    <row r="36">
      <c r="A36" s="279">
        <f>IFERROR(__xludf.DUMMYFUNCTION("IFERROR(QUERY('รายการงบประมาณ'!$A$18:$F$18,""SELECT A,B,E""))"),"")</f>
        <v/>
      </c>
      <c r="B36" s="280" t="n"/>
      <c r="C36" s="268" t="n"/>
      <c r="D36" s="271" t="inlineStr">
        <is>
          <t>แผนการดำเนินงาน</t>
        </is>
      </c>
      <c r="E36" s="281" t="b">
        <v>0</v>
      </c>
      <c r="F36" s="281" t="b">
        <v>0</v>
      </c>
      <c r="G36" s="281" t="b">
        <v>0</v>
      </c>
      <c r="H36" s="281" t="b">
        <v>0</v>
      </c>
      <c r="I36" s="281" t="b">
        <v>0</v>
      </c>
      <c r="J36" s="282" t="b">
        <v>0</v>
      </c>
      <c r="K36" s="282" t="b">
        <v>0</v>
      </c>
      <c r="L36" s="281" t="b">
        <v>0</v>
      </c>
      <c r="M36" s="281" t="b">
        <v>0</v>
      </c>
      <c r="N36" s="281" t="b">
        <v>0</v>
      </c>
      <c r="O36" s="281" t="b">
        <v>0</v>
      </c>
      <c r="P36" s="281" t="b">
        <v>0</v>
      </c>
      <c r="Q36" s="271" t="n"/>
      <c r="R36" s="548" t="n"/>
    </row>
    <row r="37">
      <c r="A37" s="283">
        <f>A36</f>
        <v/>
      </c>
      <c r="B37" s="284">
        <f>B36</f>
        <v/>
      </c>
      <c r="C37" s="274">
        <f>C36</f>
        <v/>
      </c>
      <c r="D37" s="278" t="inlineStr">
        <is>
          <t>แผนการใช้จ่าย</t>
        </is>
      </c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  <c r="N37" s="277" t="n"/>
      <c r="O37" s="277" t="n"/>
      <c r="P37" s="277" t="n"/>
      <c r="Q37" s="278" t="n"/>
      <c r="R37" s="548">
        <f>IF(C37=0,"",IFS(C37&gt;SUM(E37:P37),"วงเงินขาด "&amp;SUM(E37:P37)-C37,C37&lt;SUM(E37:P37),"วงเงินเกิน "&amp;SUM(E37:P37)-C37,C37=SUM(E37:P37),""))</f>
        <v/>
      </c>
    </row>
    <row r="38">
      <c r="A38" s="279">
        <f>IFERROR(__xludf.DUMMYFUNCTION("IFERROR(QUERY('รายการงบประมาณ'!$A$19:$F$19,""SELECT A,B,E""))"),"")</f>
        <v/>
      </c>
      <c r="B38" s="280" t="n"/>
      <c r="C38" s="268" t="n"/>
      <c r="D38" s="271" t="inlineStr">
        <is>
          <t>แผนการดำเนินงาน</t>
        </is>
      </c>
      <c r="E38" s="281" t="b">
        <v>0</v>
      </c>
      <c r="F38" s="281" t="b">
        <v>0</v>
      </c>
      <c r="G38" s="281" t="b">
        <v>0</v>
      </c>
      <c r="H38" s="281" t="b">
        <v>0</v>
      </c>
      <c r="I38" s="281" t="b">
        <v>0</v>
      </c>
      <c r="J38" s="282" t="b">
        <v>0</v>
      </c>
      <c r="K38" s="282" t="b">
        <v>0</v>
      </c>
      <c r="L38" s="281" t="b">
        <v>0</v>
      </c>
      <c r="M38" s="281" t="b">
        <v>0</v>
      </c>
      <c r="N38" s="281" t="b">
        <v>0</v>
      </c>
      <c r="O38" s="281" t="b">
        <v>0</v>
      </c>
      <c r="P38" s="281" t="b">
        <v>0</v>
      </c>
      <c r="Q38" s="271" t="n"/>
      <c r="R38" s="548" t="n"/>
    </row>
    <row r="39">
      <c r="A39" s="283">
        <f>A38</f>
        <v/>
      </c>
      <c r="B39" s="284">
        <f>B38</f>
        <v/>
      </c>
      <c r="C39" s="274">
        <f>C38</f>
        <v/>
      </c>
      <c r="D39" s="278" t="inlineStr">
        <is>
          <t>แผนการใช้จ่าย</t>
        </is>
      </c>
      <c r="E39" s="277" t="n"/>
      <c r="F39" s="277" t="n"/>
      <c r="G39" s="277" t="n"/>
      <c r="H39" s="277" t="n"/>
      <c r="I39" s="277" t="n"/>
      <c r="J39" s="277" t="n"/>
      <c r="K39" s="277" t="n"/>
      <c r="L39" s="277" t="n"/>
      <c r="M39" s="277" t="n"/>
      <c r="N39" s="277" t="n"/>
      <c r="O39" s="277" t="n"/>
      <c r="P39" s="277" t="n"/>
      <c r="Q39" s="278" t="n"/>
      <c r="R39" s="548">
        <f>IF(C39=0,"",IFS(C39&gt;SUM(E39:P39),"วงเงินขาด "&amp;SUM(E39:P39)-C39,C39&lt;SUM(E39:P39),"วงเงินเกิน "&amp;SUM(E39:P39)-C39,C39=SUM(E39:P39),""))</f>
        <v/>
      </c>
    </row>
    <row r="40">
      <c r="A40" s="279">
        <f>IFERROR(__xludf.DUMMYFUNCTION("IFERROR(QUERY('รายการงบประมาณ'!$A$20:$F$20,""SELECT A,B,E""))"),"")</f>
        <v/>
      </c>
      <c r="B40" s="280" t="n"/>
      <c r="C40" s="268" t="n"/>
      <c r="D40" s="271" t="inlineStr">
        <is>
          <t>แผนการดำเนินงาน</t>
        </is>
      </c>
      <c r="E40" s="281" t="b">
        <v>0</v>
      </c>
      <c r="F40" s="281" t="b">
        <v>0</v>
      </c>
      <c r="G40" s="281" t="b">
        <v>0</v>
      </c>
      <c r="H40" s="281" t="b">
        <v>0</v>
      </c>
      <c r="I40" s="281" t="b">
        <v>0</v>
      </c>
      <c r="J40" s="282" t="b">
        <v>0</v>
      </c>
      <c r="K40" s="282" t="b">
        <v>0</v>
      </c>
      <c r="L40" s="281" t="b">
        <v>0</v>
      </c>
      <c r="M40" s="281" t="b">
        <v>0</v>
      </c>
      <c r="N40" s="281" t="b">
        <v>0</v>
      </c>
      <c r="O40" s="281" t="b">
        <v>0</v>
      </c>
      <c r="P40" s="281" t="b">
        <v>0</v>
      </c>
      <c r="Q40" s="271" t="n"/>
      <c r="R40" s="548" t="n"/>
    </row>
    <row r="41">
      <c r="A41" s="283">
        <f>A40</f>
        <v/>
      </c>
      <c r="B41" s="284">
        <f>B40</f>
        <v/>
      </c>
      <c r="C41" s="274">
        <f>C40</f>
        <v/>
      </c>
      <c r="D41" s="278" t="inlineStr">
        <is>
          <t>แผนการใช้จ่าย</t>
        </is>
      </c>
      <c r="E41" s="277" t="n"/>
      <c r="F41" s="277" t="n"/>
      <c r="G41" s="277" t="n"/>
      <c r="H41" s="277" t="n"/>
      <c r="I41" s="277" t="n"/>
      <c r="J41" s="277" t="n"/>
      <c r="K41" s="277" t="n"/>
      <c r="L41" s="277" t="n"/>
      <c r="M41" s="277" t="n"/>
      <c r="N41" s="277" t="n"/>
      <c r="O41" s="277" t="n"/>
      <c r="P41" s="277" t="n"/>
      <c r="Q41" s="278" t="n"/>
      <c r="R41" s="548">
        <f>IF(C41=0,"",IFS(C41&gt;SUM(E41:P41),"วงเงินขาด "&amp;SUM(E41:P41)-C41,C41&lt;SUM(E41:P41),"วงเงินเกิน "&amp;SUM(E41:P41)-C41,C41=SUM(E41:P41),""))</f>
        <v/>
      </c>
    </row>
    <row r="42">
      <c r="A42" s="279">
        <f>IFERROR(__xludf.DUMMYFUNCTION("IFERROR(QUERY('รายการงบประมาณ'!$A$21:$F$21,""SELECT A,B,E""))"),"")</f>
        <v/>
      </c>
      <c r="B42" s="280" t="n"/>
      <c r="C42" s="268" t="n"/>
      <c r="D42" s="271" t="inlineStr">
        <is>
          <t>แผนการดำเนินงาน</t>
        </is>
      </c>
      <c r="E42" s="281" t="b">
        <v>0</v>
      </c>
      <c r="F42" s="281" t="b">
        <v>0</v>
      </c>
      <c r="G42" s="281" t="b">
        <v>0</v>
      </c>
      <c r="H42" s="281" t="b">
        <v>0</v>
      </c>
      <c r="I42" s="281" t="b">
        <v>0</v>
      </c>
      <c r="J42" s="282" t="b">
        <v>0</v>
      </c>
      <c r="K42" s="282" t="b">
        <v>0</v>
      </c>
      <c r="L42" s="281" t="b">
        <v>0</v>
      </c>
      <c r="M42" s="281" t="b">
        <v>0</v>
      </c>
      <c r="N42" s="281" t="b">
        <v>0</v>
      </c>
      <c r="O42" s="281" t="b">
        <v>0</v>
      </c>
      <c r="P42" s="281" t="b">
        <v>0</v>
      </c>
      <c r="Q42" s="271" t="n"/>
      <c r="R42" s="548" t="n"/>
    </row>
    <row r="43">
      <c r="A43" s="283">
        <f>A42</f>
        <v/>
      </c>
      <c r="B43" s="284">
        <f>B42</f>
        <v/>
      </c>
      <c r="C43" s="274">
        <f>C42</f>
        <v/>
      </c>
      <c r="D43" s="278" t="inlineStr">
        <is>
          <t>แผนการใช้จ่าย</t>
        </is>
      </c>
      <c r="E43" s="277" t="n"/>
      <c r="F43" s="277" t="n"/>
      <c r="G43" s="277" t="n"/>
      <c r="H43" s="277" t="n"/>
      <c r="I43" s="277" t="n"/>
      <c r="J43" s="277" t="n"/>
      <c r="K43" s="277" t="n"/>
      <c r="L43" s="277" t="n"/>
      <c r="M43" s="277" t="n"/>
      <c r="N43" s="277" t="n"/>
      <c r="O43" s="277" t="n"/>
      <c r="P43" s="277" t="n"/>
      <c r="Q43" s="278" t="n"/>
      <c r="R43" s="548">
        <f>IF(C43=0,"",IFS(C43&gt;SUM(E43:P43),"วงเงินขาด "&amp;SUM(E43:P43)-C43,C43&lt;SUM(E43:P43),"วงเงินเกิน "&amp;SUM(E43:P43)-C43,C43=SUM(E43:P43),""))</f>
        <v/>
      </c>
    </row>
    <row r="44">
      <c r="A44" s="547" t="n"/>
      <c r="B44" s="558" t="n"/>
      <c r="C44" s="287" t="n"/>
      <c r="D44" s="548" t="n"/>
      <c r="E44" s="548" t="n"/>
      <c r="F44" s="548" t="n"/>
      <c r="G44" s="548" t="n"/>
      <c r="H44" s="548" t="n"/>
      <c r="I44" s="548" t="n"/>
      <c r="J44" s="548" t="n"/>
      <c r="K44" s="548" t="n"/>
      <c r="L44" s="548" t="n"/>
      <c r="M44" s="548" t="n"/>
      <c r="N44" s="548" t="n"/>
      <c r="O44" s="548" t="n"/>
      <c r="P44" s="548" t="n"/>
      <c r="Q44" s="548" t="n"/>
      <c r="R44" s="548" t="n"/>
    </row>
    <row r="45">
      <c r="A45" s="547" t="n"/>
      <c r="B45" s="558" t="n"/>
      <c r="C45" s="287" t="n"/>
      <c r="D45" s="548" t="n"/>
      <c r="E45" s="548" t="n"/>
      <c r="F45" s="548" t="n"/>
      <c r="G45" s="548" t="n"/>
      <c r="H45" s="548" t="n"/>
      <c r="I45" s="548" t="n"/>
      <c r="J45" s="548" t="n"/>
      <c r="K45" s="548" t="n"/>
      <c r="L45" s="548" t="n"/>
      <c r="M45" s="548" t="n"/>
      <c r="N45" s="548" t="n"/>
      <c r="O45" s="548" t="n"/>
      <c r="P45" s="548" t="n"/>
      <c r="Q45" s="548" t="n"/>
      <c r="R45" s="548" t="n"/>
    </row>
  </sheetData>
  <mergeCells count="2">
    <mergeCell ref="A1:Q1"/>
    <mergeCell ref="A2:B2"/>
  </mergeCells>
  <conditionalFormatting sqref="E4:E43">
    <cfRule type="expression" priority="1" dxfId="7">
      <formula>C4=""</formula>
    </cfRule>
    <cfRule type="expression" priority="2" dxfId="7">
      <formula>C4=0</formula>
    </cfRule>
  </conditionalFormatting>
  <conditionalFormatting sqref="F4:F43">
    <cfRule type="expression" priority="3" dxfId="7">
      <formula>C4=""</formula>
    </cfRule>
    <cfRule type="expression" priority="14" dxfId="7">
      <formula>C4=0</formula>
    </cfRule>
  </conditionalFormatting>
  <conditionalFormatting sqref="G4:G43">
    <cfRule type="expression" priority="4" dxfId="7">
      <formula>C4=""</formula>
    </cfRule>
    <cfRule type="expression" priority="15" dxfId="7">
      <formula>C4=0</formula>
    </cfRule>
  </conditionalFormatting>
  <conditionalFormatting sqref="H4:H43">
    <cfRule type="expression" priority="5" dxfId="7">
      <formula>C4=""</formula>
    </cfRule>
    <cfRule type="expression" priority="16" dxfId="7">
      <formula>C4=0</formula>
    </cfRule>
  </conditionalFormatting>
  <conditionalFormatting sqref="I4:I43">
    <cfRule type="expression" priority="6" dxfId="7">
      <formula>C4=""</formula>
    </cfRule>
    <cfRule type="expression" priority="17" dxfId="7">
      <formula>C4=0</formula>
    </cfRule>
  </conditionalFormatting>
  <conditionalFormatting sqref="J4:J43">
    <cfRule type="expression" priority="7" dxfId="7">
      <formula>C4=""</formula>
    </cfRule>
    <cfRule type="expression" priority="18" dxfId="7">
      <formula>C4=0</formula>
    </cfRule>
  </conditionalFormatting>
  <conditionalFormatting sqref="K4:K43">
    <cfRule type="expression" priority="8" dxfId="7">
      <formula>C4=""</formula>
    </cfRule>
    <cfRule type="expression" priority="19" dxfId="7">
      <formula>C4=0</formula>
    </cfRule>
  </conditionalFormatting>
  <conditionalFormatting sqref="L4:L43">
    <cfRule type="expression" priority="9" dxfId="7">
      <formula>C4=""</formula>
    </cfRule>
    <cfRule type="expression" priority="20" dxfId="7">
      <formula>C4=0</formula>
    </cfRule>
  </conditionalFormatting>
  <conditionalFormatting sqref="M4:M43">
    <cfRule type="expression" priority="10" dxfId="7">
      <formula>C4=""</formula>
    </cfRule>
    <cfRule type="expression" priority="21" dxfId="7">
      <formula>C4=0</formula>
    </cfRule>
  </conditionalFormatting>
  <conditionalFormatting sqref="N4:N43">
    <cfRule type="expression" priority="11" dxfId="7">
      <formula>C4=""</formula>
    </cfRule>
    <cfRule type="expression" priority="22" dxfId="7">
      <formula>C4=0</formula>
    </cfRule>
  </conditionalFormatting>
  <conditionalFormatting sqref="O4:O43">
    <cfRule type="expression" priority="12" dxfId="7">
      <formula>C4=""</formula>
    </cfRule>
    <cfRule type="expression" priority="23" dxfId="7">
      <formula>C4=0</formula>
    </cfRule>
  </conditionalFormatting>
  <conditionalFormatting sqref="E4:O4 P4:P43">
    <cfRule type="expression" priority="13" dxfId="7">
      <formula>#REF!=""</formula>
    </cfRule>
    <cfRule type="expression" priority="24" dxfId="7">
      <formula>#REF!=0</formula>
    </cfRule>
  </conditionalFormatting>
  <conditionalFormatting sqref="E4:P43">
    <cfRule type="cellIs" priority="25" operator="equal" dxfId="8">
      <formula>"TRUE"</formula>
    </cfRule>
  </conditionalFormatting>
  <conditionalFormatting sqref="C4:C43">
    <cfRule type="containsBlanks" priority="26" dxfId="9">
      <formula>LEN(TRIM(C4))=0</formula>
    </cfRule>
  </conditionalFormatting>
  <conditionalFormatting sqref="R1:R45">
    <cfRule type="containsText" priority="27" operator="containsText" dxfId="10" text="ขาด">
      <formula>NOT(ISERROR(SEARCH(("ขาด"),(R1))))</formula>
    </cfRule>
    <cfRule type="containsText" priority="28" operator="containsText" dxfId="11" text="เกิน">
      <formula>NOT(ISERROR(SEARCH(("เกิน"),(R1))))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9900"/>
    <outlinePr summaryBelow="0" summaryRight="0"/>
    <pageSetUpPr fitToPage="1"/>
  </sheetPr>
  <dimension ref="A1:K80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9.130000000000001" customWidth="1" style="592" min="1" max="1"/>
    <col width="11.88" customWidth="1" style="592" min="2" max="2"/>
    <col width="34.63" customWidth="1" style="592" min="3" max="3"/>
    <col width="12.25" customWidth="1" style="592" min="4" max="4"/>
    <col width="9.5" customWidth="1" style="592" min="5" max="10"/>
    <col width="19.75" customWidth="1" style="592" min="11" max="11"/>
  </cols>
  <sheetData>
    <row r="1" ht="11.25" customHeight="1" s="592">
      <c r="A1" s="288" t="n"/>
    </row>
    <row r="2" ht="11.25" customHeight="1" s="592"/>
    <row r="3" ht="11.25" customHeight="1" s="592"/>
    <row r="4" ht="11.25" customHeight="1" s="592"/>
    <row r="5" ht="11.25" customHeight="1" s="592"/>
    <row r="6" ht="6.75" customHeight="1" s="592">
      <c r="A6" s="289" t="n"/>
      <c r="B6" s="290" t="n"/>
      <c r="C6" s="290" t="n"/>
      <c r="D6" s="290" t="n"/>
      <c r="E6" s="290" t="n"/>
      <c r="F6" s="290" t="n"/>
      <c r="G6" s="290" t="n"/>
      <c r="H6" s="290" t="n"/>
      <c r="I6" s="290" t="n"/>
      <c r="J6" s="290" t="n"/>
      <c r="K6" s="290" t="n"/>
    </row>
    <row r="7">
      <c r="A7" s="291" t="inlineStr">
        <is>
          <t>แบบรายงานผลการดำเนินโครงการ ณ สิ้นสุดไตรมาส 1
ประจำปีงบประมาณ 2570</t>
        </is>
      </c>
    </row>
    <row r="8">
      <c r="A8" s="292" t="inlineStr">
        <is>
          <t>หน่วยงาน</t>
        </is>
      </c>
      <c r="C8" s="293">
        <f>'โครงการ'!D4                                    </f>
        <v/>
      </c>
      <c r="J8" s="294" t="inlineStr">
        <is>
          <t>คำอธิบายการกรอกแบบฟอร์ม</t>
        </is>
      </c>
    </row>
    <row r="9">
      <c r="A9" s="295">
        <f>'โครงการ'!D6                                    </f>
        <v/>
      </c>
      <c r="C9" s="296">
        <f>'โครงการ'!D7                                    </f>
        <v/>
      </c>
      <c r="K9" s="297" t="n"/>
    </row>
    <row r="10" ht="6" customHeight="1" s="592">
      <c r="A10" s="298" t="n"/>
      <c r="C10" s="321" t="n"/>
      <c r="D10" s="321" t="n"/>
      <c r="E10" s="321" t="n"/>
      <c r="F10" s="300" t="n"/>
      <c r="G10" s="301" t="n"/>
      <c r="H10" s="301" t="n"/>
      <c r="I10" s="301" t="n"/>
      <c r="J10" s="302" t="n"/>
      <c r="K10" s="302" t="n"/>
    </row>
    <row r="11">
      <c r="A11" s="298" t="inlineStr">
        <is>
          <t>หัวหน้าโครงการ</t>
        </is>
      </c>
      <c r="C11" s="630">
        <f>'โครงการ'!D32                                    </f>
        <v/>
      </c>
      <c r="D11" s="595" t="n"/>
      <c r="E11" s="596" t="n"/>
      <c r="F11" s="306" t="inlineStr">
        <is>
          <t>E-mail : @mfu</t>
        </is>
      </c>
      <c r="H11" s="631">
        <f>'โครงการ'!H32                                    </f>
        <v/>
      </c>
      <c r="I11" s="632" t="n"/>
      <c r="J11" s="633" t="n"/>
      <c r="K11" s="297" t="n"/>
    </row>
    <row r="12" ht="6" customHeight="1" s="592">
      <c r="A12" s="298" t="n"/>
      <c r="C12" s="321" t="n"/>
      <c r="D12" s="321" t="n"/>
      <c r="E12" s="321" t="n"/>
      <c r="F12" s="300" t="n"/>
      <c r="G12" s="301" t="n"/>
      <c r="H12" s="301" t="n"/>
      <c r="I12" s="301" t="n"/>
      <c r="J12" s="302" t="n"/>
      <c r="K12" s="302" t="n"/>
    </row>
    <row r="13">
      <c r="A13" s="298" t="inlineStr">
        <is>
          <t>ชื่อผู้รายงานผล</t>
        </is>
      </c>
      <c r="C13" s="630" t="n"/>
      <c r="D13" s="595" t="n"/>
      <c r="E13" s="596" t="n"/>
      <c r="F13" s="310" t="inlineStr">
        <is>
          <t xml:space="preserve"> ผู้รายงานผลกรอกข้อมูลแล้วเสร็จ</t>
        </is>
      </c>
      <c r="G13" s="311" t="n"/>
      <c r="H13" s="316" t="n"/>
      <c r="I13" s="316" t="n"/>
      <c r="J13" s="313" t="b">
        <v>0</v>
      </c>
      <c r="K13" s="314" t="n"/>
    </row>
    <row r="14" ht="6" customHeight="1" s="592">
      <c r="A14" s="298" t="n"/>
      <c r="C14" s="321" t="n"/>
      <c r="D14" s="321" t="n"/>
      <c r="E14" s="321" t="n"/>
      <c r="F14" s="300" t="n"/>
      <c r="G14" s="301" t="n"/>
      <c r="H14" s="301" t="n"/>
      <c r="I14" s="301" t="n"/>
      <c r="J14" s="302" t="n"/>
      <c r="K14" s="302" t="n"/>
    </row>
    <row r="15">
      <c r="A15" s="315" t="inlineStr">
        <is>
          <t>ณ สิ้นสุดไตรมาส ประเมินการดำเนินงานภาพรวมคิดเป็น</t>
        </is>
      </c>
      <c r="B15" s="300" t="n"/>
      <c r="C15" s="321" t="n"/>
      <c r="D15" s="316" t="inlineStr">
        <is>
          <t>ร้อยละ</t>
        </is>
      </c>
      <c r="E15" s="317" t="n">
        <v>0</v>
      </c>
      <c r="F15" s="300" t="n"/>
      <c r="G15" s="634">
        <f>IFERROR(__xludf.DUMMYFUNCTION("IFERROR(SPARKLINE(E15,{""charttype"",""bar"";""color1"",""orenge"";""max"",100}),""โปรดระบุร้อยละการดำเนินงานเป็นตัวเลช"")"),"")</f>
        <v/>
      </c>
      <c r="H15" s="595" t="n"/>
      <c r="I15" s="595" t="n"/>
      <c r="J15" s="596" t="n"/>
      <c r="K15" s="319" t="n"/>
    </row>
    <row r="16" ht="6" customHeight="1" s="592">
      <c r="A16" s="315" t="n"/>
      <c r="B16" s="321" t="n"/>
      <c r="C16" s="321" t="n"/>
      <c r="D16" s="321" t="n"/>
      <c r="E16" s="321" t="n"/>
      <c r="F16" s="321" t="n"/>
      <c r="G16" s="316" t="n"/>
      <c r="H16" s="316" t="n"/>
      <c r="I16" s="316" t="n"/>
      <c r="J16" s="321" t="n"/>
      <c r="K16" s="321" t="n"/>
    </row>
    <row r="17">
      <c r="A17" s="315" t="inlineStr">
        <is>
          <t>หัวหน้าโครงการส่งรายงานผลการดำเนินงาน ณ สิ้นสุดไตรมาส 1</t>
        </is>
      </c>
      <c r="B17" s="321" t="n"/>
      <c r="C17" s="321" t="n"/>
      <c r="D17" s="321" t="n"/>
      <c r="E17" s="313" t="b">
        <v>0</v>
      </c>
      <c r="F17" s="321" t="n"/>
      <c r="G17" s="316" t="inlineStr">
        <is>
          <t>ว/ด/ป ที่ส่งรายงาน</t>
        </is>
      </c>
      <c r="J17" s="322" t="n"/>
    </row>
    <row r="18">
      <c r="A18" s="298" t="n"/>
      <c r="B18" s="321" t="n"/>
      <c r="C18" s="321" t="n"/>
      <c r="D18" s="321" t="n"/>
      <c r="E18" s="321" t="n"/>
      <c r="F18" s="300" t="n"/>
      <c r="G18" s="321" t="n"/>
      <c r="H18" s="321" t="n"/>
      <c r="I18" s="300" t="n"/>
      <c r="J18" s="321" t="n"/>
      <c r="K18" s="321" t="n"/>
    </row>
    <row r="19" ht="6.75" customHeight="1" s="592">
      <c r="A19" s="323" t="n"/>
      <c r="B19" s="324" t="n"/>
      <c r="C19" s="324" t="n"/>
      <c r="D19" s="324" t="n"/>
      <c r="E19" s="324" t="n"/>
      <c r="F19" s="324" t="n"/>
      <c r="G19" s="324" t="n"/>
      <c r="H19" s="324" t="n"/>
      <c r="I19" s="324" t="n"/>
      <c r="J19" s="324" t="n"/>
      <c r="K19" s="325" t="n"/>
    </row>
    <row r="20">
      <c r="A20" s="326" t="inlineStr">
        <is>
          <t>ผลการดำเนินงานรายกิจกรรม</t>
        </is>
      </c>
    </row>
    <row r="21">
      <c r="A21" s="635" t="inlineStr">
        <is>
          <t>ลำดับที่</t>
        </is>
      </c>
      <c r="B21" s="636" t="inlineStr">
        <is>
          <t>รหัสรายการ
งบประมาณ</t>
        </is>
      </c>
      <c r="C21" s="637" t="inlineStr">
        <is>
          <t>ชื่อรายการงบประมาณ/ชื่อกิจกรรม</t>
        </is>
      </c>
      <c r="D21" s="638" t="inlineStr">
        <is>
          <t>สถานะ
การดำเนินงาน</t>
        </is>
      </c>
      <c r="E21" s="639" t="inlineStr">
        <is>
          <t>อธิบายผลการดำเนินงานตามสถานะ
(ให้ระบุว่า ณ สิ้นสุดไตรมาสมีการดำเนินงานอย่างไร)</t>
        </is>
      </c>
      <c r="F21" s="640" t="n"/>
      <c r="G21" s="640" t="n"/>
      <c r="H21" s="640" t="n"/>
      <c r="I21" s="640" t="n"/>
      <c r="J21" s="640" t="n"/>
      <c r="K21" s="641" t="n"/>
    </row>
    <row r="22">
      <c r="A22" s="642" t="n"/>
      <c r="B22" s="629" t="n"/>
      <c r="C22" s="629" t="n"/>
      <c r="D22" s="629" t="n"/>
      <c r="E22" s="642" t="n"/>
      <c r="F22" s="601" t="n"/>
      <c r="G22" s="601" t="n"/>
      <c r="H22" s="601" t="n"/>
      <c r="I22" s="601" t="n"/>
      <c r="J22" s="601" t="n"/>
      <c r="K22" s="602" t="n"/>
    </row>
    <row r="23">
      <c r="A23" s="338" t="n">
        <v>1</v>
      </c>
      <c r="B23" s="338">
        <f>IFERROR(__xludf.DUMMYFUNCTION("QUERY('รายการงบประมาณ'!$A$2:$F80,""SELECT A,B WHERE E&gt;0"")"),"#N/A")</f>
        <v/>
      </c>
      <c r="C23" s="339" t="n"/>
      <c r="D23" s="340" t="n"/>
      <c r="E23" s="643" t="n"/>
      <c r="F23" s="595" t="n"/>
      <c r="G23" s="595" t="n"/>
      <c r="H23" s="595" t="n"/>
      <c r="I23" s="595" t="n"/>
      <c r="J23" s="595" t="n"/>
      <c r="K23" s="596" t="n"/>
    </row>
    <row r="24">
      <c r="A24" s="338" t="n">
        <v>2</v>
      </c>
      <c r="B24" s="338" t="n"/>
      <c r="C24" s="339" t="n"/>
      <c r="D24" s="340" t="n"/>
      <c r="E24" s="643" t="n"/>
      <c r="F24" s="595" t="n"/>
      <c r="G24" s="595" t="n"/>
      <c r="H24" s="595" t="n"/>
      <c r="I24" s="595" t="n"/>
      <c r="J24" s="595" t="n"/>
      <c r="K24" s="596" t="n"/>
    </row>
    <row r="25">
      <c r="A25" s="338" t="n">
        <v>3</v>
      </c>
      <c r="B25" s="338" t="n"/>
      <c r="C25" s="339" t="n"/>
      <c r="D25" s="340" t="n"/>
      <c r="E25" s="643" t="n"/>
      <c r="F25" s="595" t="n"/>
      <c r="G25" s="595" t="n"/>
      <c r="H25" s="595" t="n"/>
      <c r="I25" s="595" t="n"/>
      <c r="J25" s="595" t="n"/>
      <c r="K25" s="596" t="n"/>
    </row>
    <row r="26">
      <c r="A26" s="338" t="n">
        <v>4</v>
      </c>
      <c r="B26" s="338" t="n"/>
      <c r="C26" s="339" t="n"/>
      <c r="D26" s="340" t="n"/>
      <c r="E26" s="643" t="n"/>
      <c r="F26" s="595" t="n"/>
      <c r="G26" s="595" t="n"/>
      <c r="H26" s="595" t="n"/>
      <c r="I26" s="595" t="n"/>
      <c r="J26" s="595" t="n"/>
      <c r="K26" s="596" t="n"/>
    </row>
    <row r="27" collapsed="1" s="592">
      <c r="A27" s="338" t="n">
        <v>5</v>
      </c>
      <c r="B27" s="338" t="n"/>
      <c r="C27" s="339" t="n"/>
      <c r="D27" s="340" t="n"/>
      <c r="E27" s="643" t="n"/>
      <c r="F27" s="595" t="n"/>
      <c r="G27" s="595" t="n"/>
      <c r="H27" s="595" t="n"/>
      <c r="I27" s="595" t="n"/>
      <c r="J27" s="595" t="n"/>
      <c r="K27" s="596" t="n"/>
    </row>
    <row r="28" hidden="1" outlineLevel="1" s="592">
      <c r="A28" s="338" t="n">
        <v>6</v>
      </c>
      <c r="B28" s="338" t="n"/>
      <c r="C28" s="339" t="n"/>
      <c r="D28" s="340" t="n"/>
      <c r="E28" s="643" t="n"/>
      <c r="F28" s="595" t="n"/>
      <c r="G28" s="595" t="n"/>
      <c r="H28" s="595" t="n"/>
      <c r="I28" s="595" t="n"/>
      <c r="J28" s="595" t="n"/>
      <c r="K28" s="596" t="n"/>
    </row>
    <row r="29" hidden="1" outlineLevel="1" s="592">
      <c r="A29" s="338" t="n">
        <v>7</v>
      </c>
      <c r="B29" s="338" t="n"/>
      <c r="C29" s="339" t="n"/>
      <c r="D29" s="340" t="n"/>
      <c r="E29" s="643" t="n"/>
      <c r="F29" s="595" t="n"/>
      <c r="G29" s="595" t="n"/>
      <c r="H29" s="595" t="n"/>
      <c r="I29" s="595" t="n"/>
      <c r="J29" s="595" t="n"/>
      <c r="K29" s="596" t="n"/>
    </row>
    <row r="30" hidden="1" outlineLevel="1" s="592">
      <c r="A30" s="338" t="n">
        <v>8</v>
      </c>
      <c r="B30" s="338" t="n"/>
      <c r="C30" s="339" t="n"/>
      <c r="D30" s="340" t="n"/>
      <c r="E30" s="643" t="n"/>
      <c r="F30" s="595" t="n"/>
      <c r="G30" s="595" t="n"/>
      <c r="H30" s="595" t="n"/>
      <c r="I30" s="595" t="n"/>
      <c r="J30" s="595" t="n"/>
      <c r="K30" s="596" t="n"/>
    </row>
    <row r="31" hidden="1" outlineLevel="1" s="592">
      <c r="A31" s="338" t="n">
        <v>9</v>
      </c>
      <c r="B31" s="338" t="n"/>
      <c r="C31" s="339" t="n"/>
      <c r="D31" s="340" t="n"/>
      <c r="E31" s="643" t="n"/>
      <c r="F31" s="595" t="n"/>
      <c r="G31" s="595" t="n"/>
      <c r="H31" s="595" t="n"/>
      <c r="I31" s="595" t="n"/>
      <c r="J31" s="595" t="n"/>
      <c r="K31" s="596" t="n"/>
    </row>
    <row r="32" hidden="1" outlineLevel="1" s="592">
      <c r="A32" s="338" t="n">
        <v>10</v>
      </c>
      <c r="B32" s="338" t="n"/>
      <c r="C32" s="339" t="n"/>
      <c r="D32" s="340" t="n"/>
      <c r="E32" s="643" t="n"/>
      <c r="F32" s="595" t="n"/>
      <c r="G32" s="595" t="n"/>
      <c r="H32" s="595" t="n"/>
      <c r="I32" s="595" t="n"/>
      <c r="J32" s="595" t="n"/>
      <c r="K32" s="596" t="n"/>
    </row>
    <row r="33" hidden="1" outlineLevel="1" s="592">
      <c r="A33" s="338" t="n">
        <v>11</v>
      </c>
      <c r="B33" s="338" t="n"/>
      <c r="C33" s="339" t="n"/>
      <c r="D33" s="340" t="n"/>
      <c r="E33" s="643" t="n"/>
      <c r="F33" s="595" t="n"/>
      <c r="G33" s="595" t="n"/>
      <c r="H33" s="595" t="n"/>
      <c r="I33" s="595" t="n"/>
      <c r="J33" s="595" t="n"/>
      <c r="K33" s="596" t="n"/>
    </row>
    <row r="34" hidden="1" outlineLevel="1" s="592">
      <c r="A34" s="338" t="n">
        <v>12</v>
      </c>
      <c r="B34" s="338" t="n"/>
      <c r="C34" s="339" t="n"/>
      <c r="D34" s="340" t="n"/>
      <c r="E34" s="643" t="n"/>
      <c r="F34" s="595" t="n"/>
      <c r="G34" s="595" t="n"/>
      <c r="H34" s="595" t="n"/>
      <c r="I34" s="595" t="n"/>
      <c r="J34" s="595" t="n"/>
      <c r="K34" s="596" t="n"/>
    </row>
    <row r="35" hidden="1" outlineLevel="1" s="592">
      <c r="A35" s="338" t="n">
        <v>13</v>
      </c>
      <c r="B35" s="338" t="n"/>
      <c r="C35" s="339" t="n"/>
      <c r="D35" s="340" t="n"/>
      <c r="E35" s="643" t="n"/>
      <c r="F35" s="595" t="n"/>
      <c r="G35" s="595" t="n"/>
      <c r="H35" s="595" t="n"/>
      <c r="I35" s="595" t="n"/>
      <c r="J35" s="595" t="n"/>
      <c r="K35" s="596" t="n"/>
    </row>
    <row r="36" hidden="1" outlineLevel="1" s="592">
      <c r="A36" s="338" t="n">
        <v>14</v>
      </c>
      <c r="B36" s="338" t="n"/>
      <c r="C36" s="339" t="n"/>
      <c r="D36" s="340" t="n"/>
      <c r="E36" s="643" t="n"/>
      <c r="F36" s="595" t="n"/>
      <c r="G36" s="595" t="n"/>
      <c r="H36" s="595" t="n"/>
      <c r="I36" s="595" t="n"/>
      <c r="J36" s="595" t="n"/>
      <c r="K36" s="596" t="n"/>
    </row>
    <row r="37" hidden="1" outlineLevel="1" s="592">
      <c r="A37" s="338" t="n">
        <v>15</v>
      </c>
      <c r="B37" s="338" t="n"/>
      <c r="C37" s="339" t="n"/>
      <c r="D37" s="340" t="n"/>
      <c r="E37" s="643" t="n"/>
      <c r="F37" s="595" t="n"/>
      <c r="G37" s="595" t="n"/>
      <c r="H37" s="595" t="n"/>
      <c r="I37" s="595" t="n"/>
      <c r="J37" s="595" t="n"/>
      <c r="K37" s="596" t="n"/>
    </row>
    <row r="38" hidden="1" outlineLevel="1" s="592">
      <c r="A38" s="338" t="n">
        <v>16</v>
      </c>
      <c r="B38" s="338" t="n"/>
      <c r="C38" s="339" t="n"/>
      <c r="D38" s="340" t="n"/>
      <c r="E38" s="643" t="n"/>
      <c r="F38" s="595" t="n"/>
      <c r="G38" s="595" t="n"/>
      <c r="H38" s="595" t="n"/>
      <c r="I38" s="595" t="n"/>
      <c r="J38" s="595" t="n"/>
      <c r="K38" s="596" t="n"/>
    </row>
    <row r="39" hidden="1" outlineLevel="1" s="592">
      <c r="A39" s="338" t="n">
        <v>17</v>
      </c>
      <c r="B39" s="338" t="n"/>
      <c r="C39" s="339" t="n"/>
      <c r="D39" s="340" t="n"/>
      <c r="E39" s="643" t="n"/>
      <c r="F39" s="595" t="n"/>
      <c r="G39" s="595" t="n"/>
      <c r="H39" s="595" t="n"/>
      <c r="I39" s="595" t="n"/>
      <c r="J39" s="595" t="n"/>
      <c r="K39" s="596" t="n"/>
    </row>
    <row r="40" hidden="1" outlineLevel="1" s="592">
      <c r="A40" s="338" t="n">
        <v>18</v>
      </c>
      <c r="B40" s="338" t="n"/>
      <c r="C40" s="339" t="n"/>
      <c r="D40" s="340" t="n"/>
      <c r="E40" s="643" t="n"/>
      <c r="F40" s="595" t="n"/>
      <c r="G40" s="595" t="n"/>
      <c r="H40" s="595" t="n"/>
      <c r="I40" s="595" t="n"/>
      <c r="J40" s="595" t="n"/>
      <c r="K40" s="596" t="n"/>
    </row>
    <row r="41" hidden="1" outlineLevel="1" s="592">
      <c r="A41" s="338" t="n">
        <v>19</v>
      </c>
      <c r="B41" s="338" t="n"/>
      <c r="C41" s="339" t="n"/>
      <c r="D41" s="340" t="n"/>
      <c r="E41" s="643" t="n"/>
      <c r="F41" s="595" t="n"/>
      <c r="G41" s="595" t="n"/>
      <c r="H41" s="595" t="n"/>
      <c r="I41" s="595" t="n"/>
      <c r="J41" s="595" t="n"/>
      <c r="K41" s="596" t="n"/>
    </row>
    <row r="42" hidden="1" outlineLevel="1" s="592">
      <c r="A42" s="338" t="n">
        <v>20</v>
      </c>
      <c r="B42" s="338" t="n"/>
      <c r="C42" s="339" t="n"/>
      <c r="D42" s="340" t="n"/>
      <c r="E42" s="643" t="n"/>
      <c r="F42" s="595" t="n"/>
      <c r="G42" s="595" t="n"/>
      <c r="H42" s="595" t="n"/>
      <c r="I42" s="595" t="n"/>
      <c r="J42" s="595" t="n"/>
      <c r="K42" s="596" t="n"/>
    </row>
    <row r="43">
      <c r="A43" s="345" t="inlineStr">
        <is>
          <t>คำอธิบาย สถานะการดำเนินงาน</t>
        </is>
      </c>
      <c r="B43" s="343" t="n"/>
      <c r="C43" s="548" t="n"/>
      <c r="D43" s="548" t="n"/>
      <c r="E43" s="548" t="n"/>
      <c r="F43" s="548" t="n"/>
      <c r="G43" s="548" t="n"/>
      <c r="H43" s="548" t="n"/>
      <c r="I43" s="548" t="n"/>
      <c r="J43" s="548" t="n"/>
      <c r="K43" s="548" t="n"/>
    </row>
    <row r="44">
      <c r="A44" s="345" t="inlineStr">
        <is>
          <t>หมายเหตุ</t>
        </is>
      </c>
      <c r="B44" s="343" t="inlineStr">
        <is>
          <t>โปรดระบุตัวเลขสถานะการดำเนินงาน ในช่อง "สถานะการดำเนินงาน"</t>
        </is>
      </c>
    </row>
    <row r="45">
      <c r="A45" s="346" t="n"/>
      <c r="B45" s="347" t="n">
        <v>1</v>
      </c>
      <c r="C45" s="348" t="inlineStr">
        <is>
          <t>ไม่ได้ดำเนินงาน</t>
        </is>
      </c>
      <c r="D45" s="349" t="inlineStr">
        <is>
          <t>หมายถึง ถึงแผนที่จะต้องดำเนินงานแล้ว แต่ "ไม่ได้ดำเนินการ" เนื่องจากมีเหตุจำเป็น...</t>
        </is>
      </c>
    </row>
    <row r="46">
      <c r="A46" s="346" t="n"/>
      <c r="B46" s="350" t="n">
        <v>2</v>
      </c>
      <c r="C46" s="348" t="inlineStr">
        <is>
          <t>ไม่ถึงแผนที่กำหนด</t>
        </is>
      </c>
      <c r="D46" s="349" t="inlineStr">
        <is>
          <t>หมายถึง มีแผนการดำเนินงานในไตรมาสอื่น</t>
        </is>
      </c>
    </row>
    <row r="47">
      <c r="A47" s="346" t="n"/>
      <c r="B47" s="350" t="n">
        <v>3</v>
      </c>
      <c r="C47" s="348" t="inlineStr">
        <is>
          <t>อยู่ระหว่างการดำเนินงาน</t>
        </is>
      </c>
      <c r="D47" s="348" t="inlineStr">
        <is>
          <t>หมายถึง ดำเนินงานแล้ว แต่ยังไม่เเล้วเสร็จ หรือมีแผนดำเนินงานครั้งที่ 2/3/4</t>
        </is>
      </c>
    </row>
    <row r="48">
      <c r="A48" s="346" t="n"/>
      <c r="B48" s="351" t="n">
        <v>4</v>
      </c>
      <c r="C48" s="348" t="inlineStr">
        <is>
          <t>ดำเนินการแล้ว</t>
        </is>
      </c>
      <c r="D48" s="348" t="inlineStr">
        <is>
          <t>หมายถึง ดำเนินงานแล้วเสร็จ</t>
        </is>
      </c>
    </row>
    <row r="49" hidden="1" ht="6.75" customHeight="1" s="592">
      <c r="A49" s="352" t="n"/>
      <c r="B49" s="353" t="n"/>
      <c r="C49" s="353" t="n"/>
      <c r="D49" s="353" t="n"/>
      <c r="E49" s="353" t="n"/>
      <c r="F49" s="353" t="n"/>
      <c r="G49" s="353" t="n"/>
      <c r="H49" s="353" t="n"/>
      <c r="I49" s="353" t="n"/>
      <c r="J49" s="353" t="n"/>
      <c r="K49" s="353" t="n"/>
    </row>
    <row r="50" hidden="1" s="592">
      <c r="A50" s="644" t="inlineStr">
        <is>
          <t>ผลการดำเนินงาน</t>
        </is>
      </c>
      <c r="B50" s="595" t="n"/>
      <c r="C50" s="595" t="n"/>
      <c r="D50" s="595" t="n"/>
      <c r="E50" s="595" t="n"/>
      <c r="F50" s="595" t="n"/>
      <c r="G50" s="595" t="n"/>
      <c r="H50" s="595" t="n"/>
      <c r="I50" s="595" t="n"/>
      <c r="J50" s="595" t="n"/>
      <c r="K50" s="596" t="n"/>
    </row>
    <row r="51" hidden="1" s="592">
      <c r="A51" s="645" t="inlineStr">
        <is>
          <t>ตัวชี้วัดความสำเร็จของโครงการ</t>
        </is>
      </c>
      <c r="B51" s="640" t="n"/>
      <c r="C51" s="641" t="n"/>
      <c r="D51" s="645" t="inlineStr">
        <is>
          <t>หน่วยนับ</t>
        </is>
      </c>
      <c r="E51" s="645" t="inlineStr">
        <is>
          <t>แผน
ปี 2570</t>
        </is>
      </c>
      <c r="F51" s="645" t="inlineStr">
        <is>
          <t>ผล
ปี 2570</t>
        </is>
      </c>
      <c r="G51" s="645" t="inlineStr">
        <is>
          <t>การรายงานผล</t>
        </is>
      </c>
      <c r="H51" s="641" t="n"/>
      <c r="I51" s="646" t="inlineStr">
        <is>
          <t>อธิบายผลการดำเนินงาน
(รายงานผลเทียบแผน อย่างไร)</t>
        </is>
      </c>
      <c r="J51" s="640" t="n"/>
      <c r="K51" s="641" t="n"/>
    </row>
    <row r="52" hidden="1" s="592">
      <c r="A52" s="642" t="n"/>
      <c r="B52" s="601" t="n"/>
      <c r="C52" s="602" t="n"/>
      <c r="D52" s="629" t="n"/>
      <c r="E52" s="629" t="n"/>
      <c r="F52" s="629" t="n"/>
      <c r="G52" s="642" t="n"/>
      <c r="H52" s="602" t="n"/>
      <c r="I52" s="642" t="n"/>
      <c r="J52" s="601" t="n"/>
      <c r="K52" s="602" t="n"/>
    </row>
    <row r="53" hidden="1" s="592">
      <c r="A53" s="647" t="inlineStr">
        <is>
          <t xml:space="preserve">เชิงปริมาณ </t>
        </is>
      </c>
      <c r="B53" s="595" t="n"/>
      <c r="C53" s="596" t="n"/>
      <c r="D53" s="367" t="n"/>
      <c r="E53" s="367" t="n"/>
      <c r="F53" s="368" t="inlineStr">
        <is>
          <t>ไตรมาส 1</t>
        </is>
      </c>
      <c r="G53" s="369" t="inlineStr">
        <is>
          <t>ระบุได้</t>
        </is>
      </c>
      <c r="H53" s="370" t="inlineStr">
        <is>
          <t>ระบุไม่ได้</t>
        </is>
      </c>
      <c r="I53" s="368" t="n"/>
      <c r="J53" s="595" t="n"/>
      <c r="K53" s="596" t="n"/>
    </row>
    <row r="54" hidden="1" s="592">
      <c r="A54" s="648">
        <f>IFERROR(__xludf.DUMMYFUNCTION("QUERY('โครงการ'!C65:J74,""SELECT C WHERE C IS NOT NULL"")"),"#N/A")</f>
        <v/>
      </c>
      <c r="B54" s="595" t="n"/>
      <c r="C54" s="596" t="n"/>
      <c r="D54" s="450">
        <f>IFERROR(__xludf.DUMMYFUNCTION("QUERY('โครงการ'!C65:J74,""SELECT I,J WHERE C IS NOT NULL"")"),"#N/A")</f>
        <v/>
      </c>
      <c r="E54" s="450" t="n"/>
      <c r="F54" s="374" t="n"/>
      <c r="G54" s="375" t="b">
        <v>0</v>
      </c>
      <c r="H54" s="376" t="b">
        <v>0</v>
      </c>
      <c r="I54" s="649" t="n"/>
      <c r="J54" s="595" t="n"/>
      <c r="K54" s="596" t="n"/>
    </row>
    <row r="55" hidden="1" s="592">
      <c r="A55" s="648" t="n"/>
      <c r="B55" s="595" t="n"/>
      <c r="C55" s="596" t="n"/>
      <c r="D55" s="450" t="n"/>
      <c r="E55" s="450" t="n"/>
      <c r="F55" s="374" t="n"/>
      <c r="G55" s="375" t="b">
        <v>0</v>
      </c>
      <c r="H55" s="376" t="b">
        <v>0</v>
      </c>
      <c r="I55" s="649" t="n"/>
      <c r="J55" s="595" t="n"/>
      <c r="K55" s="596" t="n"/>
    </row>
    <row r="56" hidden="1" s="592">
      <c r="A56" s="648" t="n"/>
      <c r="B56" s="595" t="n"/>
      <c r="C56" s="596" t="n"/>
      <c r="D56" s="450" t="n"/>
      <c r="E56" s="450" t="n"/>
      <c r="F56" s="374" t="n"/>
      <c r="G56" s="375" t="b">
        <v>0</v>
      </c>
      <c r="H56" s="376" t="b">
        <v>0</v>
      </c>
      <c r="I56" s="649" t="n"/>
      <c r="J56" s="595" t="n"/>
      <c r="K56" s="596" t="n"/>
    </row>
    <row r="57" hidden="1" s="592">
      <c r="A57" s="648" t="n"/>
      <c r="B57" s="595" t="n"/>
      <c r="C57" s="596" t="n"/>
      <c r="D57" s="450" t="n"/>
      <c r="E57" s="450" t="n"/>
      <c r="F57" s="374" t="n"/>
      <c r="G57" s="375" t="b">
        <v>0</v>
      </c>
      <c r="H57" s="376" t="b">
        <v>0</v>
      </c>
      <c r="I57" s="649" t="n"/>
      <c r="J57" s="595" t="n"/>
      <c r="K57" s="596" t="n"/>
    </row>
    <row r="58" hidden="1" collapsed="1" s="592">
      <c r="A58" s="648" t="n"/>
      <c r="B58" s="595" t="n"/>
      <c r="C58" s="596" t="n"/>
      <c r="D58" s="450" t="n"/>
      <c r="E58" s="450" t="n"/>
      <c r="F58" s="374" t="n"/>
      <c r="G58" s="375" t="b">
        <v>0</v>
      </c>
      <c r="H58" s="376" t="b">
        <v>0</v>
      </c>
      <c r="I58" s="649" t="n"/>
      <c r="J58" s="595" t="n"/>
      <c r="K58" s="596" t="n"/>
    </row>
    <row r="59" hidden="1" outlineLevel="1" s="592">
      <c r="A59" s="648" t="n"/>
      <c r="B59" s="595" t="n"/>
      <c r="C59" s="596" t="n"/>
      <c r="D59" s="450" t="n"/>
      <c r="E59" s="450" t="n"/>
      <c r="F59" s="374" t="n"/>
      <c r="G59" s="375" t="b">
        <v>0</v>
      </c>
      <c r="H59" s="376" t="b">
        <v>0</v>
      </c>
      <c r="I59" s="649" t="n"/>
      <c r="J59" s="595" t="n"/>
      <c r="K59" s="596" t="n"/>
    </row>
    <row r="60" hidden="1" outlineLevel="1" s="592">
      <c r="A60" s="648" t="n"/>
      <c r="B60" s="595" t="n"/>
      <c r="C60" s="596" t="n"/>
      <c r="D60" s="450" t="n"/>
      <c r="E60" s="450" t="n"/>
      <c r="F60" s="374" t="n"/>
      <c r="G60" s="375" t="b">
        <v>0</v>
      </c>
      <c r="H60" s="376" t="b">
        <v>0</v>
      </c>
      <c r="I60" s="649" t="n"/>
      <c r="J60" s="595" t="n"/>
      <c r="K60" s="596" t="n"/>
    </row>
    <row r="61" hidden="1" outlineLevel="1" s="592">
      <c r="A61" s="648" t="n"/>
      <c r="B61" s="595" t="n"/>
      <c r="C61" s="596" t="n"/>
      <c r="D61" s="450" t="n"/>
      <c r="E61" s="450" t="n"/>
      <c r="F61" s="374" t="n"/>
      <c r="G61" s="375" t="b">
        <v>0</v>
      </c>
      <c r="H61" s="376" t="b">
        <v>0</v>
      </c>
      <c r="I61" s="649" t="n"/>
      <c r="J61" s="595" t="n"/>
      <c r="K61" s="596" t="n"/>
    </row>
    <row r="62" hidden="1" outlineLevel="1" s="592">
      <c r="A62" s="648" t="n"/>
      <c r="B62" s="595" t="n"/>
      <c r="C62" s="596" t="n"/>
      <c r="D62" s="450" t="n"/>
      <c r="E62" s="450" t="n"/>
      <c r="F62" s="374" t="n"/>
      <c r="G62" s="375" t="b">
        <v>0</v>
      </c>
      <c r="H62" s="376" t="b">
        <v>0</v>
      </c>
      <c r="I62" s="649" t="n"/>
      <c r="J62" s="595" t="n"/>
      <c r="K62" s="596" t="n"/>
    </row>
    <row r="63" hidden="1" outlineLevel="1" s="592">
      <c r="A63" s="648" t="n"/>
      <c r="B63" s="595" t="n"/>
      <c r="C63" s="596" t="n"/>
      <c r="D63" s="450" t="n"/>
      <c r="E63" s="450" t="n"/>
      <c r="F63" s="374" t="n"/>
      <c r="G63" s="375" t="b">
        <v>0</v>
      </c>
      <c r="H63" s="376" t="b">
        <v>0</v>
      </c>
      <c r="I63" s="649" t="n"/>
      <c r="J63" s="595" t="n"/>
      <c r="K63" s="596" t="n"/>
    </row>
    <row r="64" hidden="1" s="592">
      <c r="A64" s="647" t="inlineStr">
        <is>
          <t xml:space="preserve">เชิงคุณภาพ </t>
        </is>
      </c>
      <c r="B64" s="595" t="n"/>
      <c r="C64" s="596" t="n"/>
      <c r="D64" s="368" t="n"/>
      <c r="E64" s="368" t="n"/>
      <c r="F64" s="368" t="n"/>
      <c r="G64" s="367" t="n"/>
      <c r="H64" s="367" t="n"/>
      <c r="I64" s="368" t="n"/>
      <c r="J64" s="595" t="n"/>
      <c r="K64" s="596" t="n"/>
    </row>
    <row r="65" hidden="1" s="592">
      <c r="A65" s="648">
        <f>IFERROR(__xludf.DUMMYFUNCTION("QUERY('โครงการ'!C76:J85,""SELECT C WHERE C IS NOT NULL"")"),"#N/A")</f>
        <v/>
      </c>
      <c r="B65" s="595" t="n"/>
      <c r="C65" s="596" t="n"/>
      <c r="D65" s="450">
        <f>IFERROR(__xludf.DUMMYFUNCTION("QUERY('โครงการ'!C76:J85,""SELECT I,J WHERE C IS NOT NULL"")"),"#N/A")</f>
        <v/>
      </c>
      <c r="E65" s="450" t="n"/>
      <c r="F65" s="374" t="n"/>
      <c r="G65" s="375" t="b">
        <v>0</v>
      </c>
      <c r="H65" s="376" t="b">
        <v>0</v>
      </c>
      <c r="I65" s="649" t="n"/>
      <c r="J65" s="595" t="n"/>
      <c r="K65" s="596" t="n"/>
    </row>
    <row r="66" hidden="1" s="592">
      <c r="A66" s="648" t="n"/>
      <c r="B66" s="595" t="n"/>
      <c r="C66" s="596" t="n"/>
      <c r="D66" s="450" t="n"/>
      <c r="E66" s="450" t="n"/>
      <c r="F66" s="374" t="n"/>
      <c r="G66" s="375" t="b">
        <v>0</v>
      </c>
      <c r="H66" s="376" t="b">
        <v>0</v>
      </c>
      <c r="I66" s="649" t="n"/>
      <c r="J66" s="595" t="n"/>
      <c r="K66" s="596" t="n"/>
    </row>
    <row r="67" hidden="1" s="592">
      <c r="A67" s="648" t="n"/>
      <c r="B67" s="595" t="n"/>
      <c r="C67" s="596" t="n"/>
      <c r="D67" s="450" t="n"/>
      <c r="E67" s="450" t="n"/>
      <c r="F67" s="374" t="n"/>
      <c r="G67" s="375" t="b">
        <v>0</v>
      </c>
      <c r="H67" s="376" t="b">
        <v>0</v>
      </c>
      <c r="I67" s="649" t="n"/>
      <c r="J67" s="595" t="n"/>
      <c r="K67" s="596" t="n"/>
    </row>
    <row r="68" hidden="1" s="592">
      <c r="A68" s="648" t="n"/>
      <c r="B68" s="595" t="n"/>
      <c r="C68" s="596" t="n"/>
      <c r="D68" s="450" t="n"/>
      <c r="E68" s="450" t="n"/>
      <c r="F68" s="374" t="n"/>
      <c r="G68" s="375" t="b">
        <v>0</v>
      </c>
      <c r="H68" s="376" t="b">
        <v>0</v>
      </c>
      <c r="I68" s="649" t="n"/>
      <c r="J68" s="595" t="n"/>
      <c r="K68" s="596" t="n"/>
    </row>
    <row r="69" hidden="1" collapsed="1" s="592">
      <c r="A69" s="648" t="n"/>
      <c r="B69" s="595" t="n"/>
      <c r="C69" s="596" t="n"/>
      <c r="D69" s="450" t="n"/>
      <c r="E69" s="450" t="n"/>
      <c r="F69" s="374" t="n"/>
      <c r="G69" s="375" t="b">
        <v>0</v>
      </c>
      <c r="H69" s="376" t="b">
        <v>0</v>
      </c>
      <c r="I69" s="649" t="n"/>
      <c r="J69" s="595" t="n"/>
      <c r="K69" s="596" t="n"/>
    </row>
    <row r="70" hidden="1" outlineLevel="1" s="592">
      <c r="A70" s="648" t="n"/>
      <c r="B70" s="595" t="n"/>
      <c r="C70" s="596" t="n"/>
      <c r="D70" s="450" t="n"/>
      <c r="E70" s="450" t="n"/>
      <c r="F70" s="374" t="n"/>
      <c r="G70" s="375" t="b">
        <v>0</v>
      </c>
      <c r="H70" s="376" t="b">
        <v>0</v>
      </c>
      <c r="I70" s="649" t="n"/>
      <c r="J70" s="595" t="n"/>
      <c r="K70" s="596" t="n"/>
    </row>
    <row r="71" hidden="1" outlineLevel="1" s="592">
      <c r="A71" s="648" t="n"/>
      <c r="B71" s="595" t="n"/>
      <c r="C71" s="596" t="n"/>
      <c r="D71" s="450" t="n"/>
      <c r="E71" s="450" t="n"/>
      <c r="F71" s="374" t="n"/>
      <c r="G71" s="375" t="b">
        <v>0</v>
      </c>
      <c r="H71" s="376" t="b">
        <v>0</v>
      </c>
      <c r="I71" s="649" t="n"/>
      <c r="J71" s="595" t="n"/>
      <c r="K71" s="596" t="n"/>
    </row>
    <row r="72" hidden="1" outlineLevel="1" s="592">
      <c r="A72" s="648" t="n"/>
      <c r="B72" s="595" t="n"/>
      <c r="C72" s="596" t="n"/>
      <c r="D72" s="450" t="n"/>
      <c r="E72" s="450" t="n"/>
      <c r="F72" s="374" t="n"/>
      <c r="G72" s="375" t="b">
        <v>0</v>
      </c>
      <c r="H72" s="376" t="b">
        <v>0</v>
      </c>
      <c r="I72" s="649" t="n"/>
      <c r="J72" s="595" t="n"/>
      <c r="K72" s="596" t="n"/>
    </row>
    <row r="73" hidden="1" outlineLevel="1" s="592">
      <c r="A73" s="648" t="n"/>
      <c r="B73" s="595" t="n"/>
      <c r="C73" s="596" t="n"/>
      <c r="D73" s="450" t="n"/>
      <c r="E73" s="450" t="n"/>
      <c r="F73" s="374" t="n"/>
      <c r="G73" s="375" t="b">
        <v>0</v>
      </c>
      <c r="H73" s="376" t="b">
        <v>0</v>
      </c>
      <c r="I73" s="649" t="n"/>
      <c r="J73" s="595" t="n"/>
      <c r="K73" s="596" t="n"/>
    </row>
    <row r="74" hidden="1" outlineLevel="1" s="592">
      <c r="A74" s="648" t="n"/>
      <c r="B74" s="595" t="n"/>
      <c r="C74" s="596" t="n"/>
      <c r="D74" s="450" t="n"/>
      <c r="E74" s="450" t="n"/>
      <c r="F74" s="374" t="n"/>
      <c r="G74" s="375" t="b">
        <v>0</v>
      </c>
      <c r="H74" s="376" t="b">
        <v>0</v>
      </c>
      <c r="I74" s="649" t="n"/>
      <c r="J74" s="595" t="n"/>
      <c r="K74" s="596" t="n"/>
    </row>
    <row r="75" hidden="1" ht="6.75" customHeight="1" s="592">
      <c r="A75" s="378" t="n"/>
      <c r="B75" s="378" t="n"/>
      <c r="C75" s="378" t="n"/>
      <c r="D75" s="378" t="n"/>
      <c r="E75" s="378" t="n"/>
      <c r="F75" s="378" t="n"/>
      <c r="G75" s="378" t="n"/>
      <c r="H75" s="378" t="n"/>
      <c r="I75" s="378" t="n"/>
      <c r="J75" s="378" t="n"/>
      <c r="K75" s="378" t="n"/>
    </row>
    <row r="76" hidden="1" s="592">
      <c r="A76" s="379" t="n"/>
      <c r="B76" s="379" t="n"/>
      <c r="C76" s="379" t="n"/>
      <c r="D76" s="379" t="n"/>
      <c r="E76" s="379" t="n"/>
      <c r="F76" s="379" t="n"/>
      <c r="G76" s="379" t="n"/>
      <c r="H76" s="379" t="n"/>
      <c r="I76" s="379" t="n"/>
      <c r="J76" s="379" t="n"/>
      <c r="K76" s="379" t="n"/>
    </row>
    <row r="77">
      <c r="A77" s="548" t="n"/>
      <c r="B77" s="548" t="n"/>
      <c r="C77" s="548" t="n"/>
      <c r="D77" s="548" t="n"/>
      <c r="E77" s="548" t="n"/>
      <c r="F77" s="548" t="n"/>
      <c r="G77" s="548" t="n"/>
      <c r="H77" s="548" t="n"/>
      <c r="I77" s="548" t="n"/>
      <c r="J77" s="548" t="n"/>
      <c r="K77" s="548" t="n"/>
    </row>
    <row r="78">
      <c r="A78" s="548" t="n"/>
      <c r="B78" s="548" t="n"/>
      <c r="C78" s="548" t="n"/>
      <c r="D78" s="548" t="n"/>
      <c r="E78" s="548" t="n"/>
      <c r="F78" s="548" t="n"/>
      <c r="G78" s="548" t="n"/>
      <c r="H78" s="548" t="n"/>
      <c r="I78" s="548" t="n"/>
      <c r="J78" s="548" t="n"/>
      <c r="K78" s="548" t="n"/>
    </row>
    <row r="79">
      <c r="A79" s="548" t="n"/>
      <c r="B79" s="548" t="n"/>
      <c r="C79" s="548" t="n"/>
      <c r="D79" s="548" t="n"/>
      <c r="E79" s="548" t="n"/>
      <c r="F79" s="548" t="n"/>
      <c r="G79" s="548" t="n"/>
      <c r="H79" s="548" t="n"/>
      <c r="I79" s="548" t="n"/>
      <c r="J79" s="548" t="n"/>
      <c r="K79" s="548" t="n"/>
    </row>
    <row r="80">
      <c r="A80" s="548" t="n"/>
      <c r="B80" s="548" t="n"/>
      <c r="C80" s="548" t="n"/>
      <c r="D80" s="548" t="n"/>
      <c r="E80" s="548" t="n"/>
      <c r="F80" s="548" t="n"/>
      <c r="G80" s="548" t="n"/>
      <c r="H80" s="548" t="n"/>
      <c r="I80" s="548" t="n"/>
      <c r="J80" s="548" t="n"/>
      <c r="K80" s="548" t="n"/>
    </row>
  </sheetData>
  <mergeCells count="101">
    <mergeCell ref="I54:K54"/>
    <mergeCell ref="E36:K36"/>
    <mergeCell ref="I72:K72"/>
    <mergeCell ref="D21:D22"/>
    <mergeCell ref="D46:K46"/>
    <mergeCell ref="I56:K56"/>
    <mergeCell ref="A57:C57"/>
    <mergeCell ref="H11:J11"/>
    <mergeCell ref="A71:C71"/>
    <mergeCell ref="A7:K7"/>
    <mergeCell ref="I73:K73"/>
    <mergeCell ref="A51:C52"/>
    <mergeCell ref="I63:K63"/>
    <mergeCell ref="E39:K39"/>
    <mergeCell ref="A63:C63"/>
    <mergeCell ref="I59:K59"/>
    <mergeCell ref="E29:K29"/>
    <mergeCell ref="I65:K65"/>
    <mergeCell ref="E38:K38"/>
    <mergeCell ref="I74:K74"/>
    <mergeCell ref="E31:K31"/>
    <mergeCell ref="E40:K40"/>
    <mergeCell ref="A69:C69"/>
    <mergeCell ref="A9:B9"/>
    <mergeCell ref="I51:K52"/>
    <mergeCell ref="A66:C66"/>
    <mergeCell ref="E26:K26"/>
    <mergeCell ref="C8:I8"/>
    <mergeCell ref="A11:B11"/>
    <mergeCell ref="A55:C55"/>
    <mergeCell ref="E25:K25"/>
    <mergeCell ref="I62:K62"/>
    <mergeCell ref="A1:K5"/>
    <mergeCell ref="I64:K64"/>
    <mergeCell ref="E42:K42"/>
    <mergeCell ref="A21:A22"/>
    <mergeCell ref="C9:J9"/>
    <mergeCell ref="C13:E13"/>
    <mergeCell ref="A58:C58"/>
    <mergeCell ref="A67:C67"/>
    <mergeCell ref="A8:B8"/>
    <mergeCell ref="A73:C73"/>
    <mergeCell ref="A60:C60"/>
    <mergeCell ref="E30:K30"/>
    <mergeCell ref="A10:B10"/>
    <mergeCell ref="E21:K22"/>
    <mergeCell ref="G17:I17"/>
    <mergeCell ref="I66:K66"/>
    <mergeCell ref="E51:E52"/>
    <mergeCell ref="I53:K53"/>
    <mergeCell ref="E32:K32"/>
    <mergeCell ref="E41:K41"/>
    <mergeCell ref="I68:K68"/>
    <mergeCell ref="I55:K55"/>
    <mergeCell ref="C11:E11"/>
    <mergeCell ref="D45:K45"/>
    <mergeCell ref="F51:F52"/>
    <mergeCell ref="I67:K67"/>
    <mergeCell ref="C21:C22"/>
    <mergeCell ref="J8:K8"/>
    <mergeCell ref="A62:C62"/>
    <mergeCell ref="E24:K24"/>
    <mergeCell ref="E33:K33"/>
    <mergeCell ref="A72:C72"/>
    <mergeCell ref="A12:B12"/>
    <mergeCell ref="D48:K48"/>
    <mergeCell ref="E35:K35"/>
    <mergeCell ref="A14:B14"/>
    <mergeCell ref="A59:C59"/>
    <mergeCell ref="A64:C64"/>
    <mergeCell ref="E28:K28"/>
    <mergeCell ref="A61:C61"/>
    <mergeCell ref="I70:K70"/>
    <mergeCell ref="A70:C70"/>
    <mergeCell ref="I57:K57"/>
    <mergeCell ref="G15:J15"/>
    <mergeCell ref="B21:B22"/>
    <mergeCell ref="A54:C54"/>
    <mergeCell ref="F11:G11"/>
    <mergeCell ref="I71:K71"/>
    <mergeCell ref="A74:C74"/>
    <mergeCell ref="A56:C56"/>
    <mergeCell ref="I58:K58"/>
    <mergeCell ref="E37:K37"/>
    <mergeCell ref="G51:H52"/>
    <mergeCell ref="A53:C53"/>
    <mergeCell ref="E23:K23"/>
    <mergeCell ref="A50:K50"/>
    <mergeCell ref="A68:C68"/>
    <mergeCell ref="D47:K47"/>
    <mergeCell ref="I60:K60"/>
    <mergeCell ref="I69:K69"/>
    <mergeCell ref="A20:K20"/>
    <mergeCell ref="D51:D52"/>
    <mergeCell ref="E34:K34"/>
    <mergeCell ref="B44:K44"/>
    <mergeCell ref="I61:K61"/>
    <mergeCell ref="A13:B13"/>
    <mergeCell ref="A65:C65"/>
    <mergeCell ref="J17:K17"/>
    <mergeCell ref="E27:K27"/>
  </mergeCells>
  <hyperlinks>
    <hyperlink xmlns:r="http://schemas.openxmlformats.org/officeDocument/2006/relationships" ref="J8" r:id="rId1"/>
  </hyperlinks>
  <printOptions horizontalCentered="1" gridLines="1"/>
  <pageMargins left="0.7" right="0.7" top="0.75" bottom="0.75" header="0" footer="0"/>
  <pageSetup orientation="portrait" paperSize="9" fitToHeight="0" pageOrder="overThenDown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9900"/>
    <outlinePr summaryBelow="0" summaryRight="0"/>
    <pageSetUpPr fitToPage="1"/>
  </sheetPr>
  <dimension ref="A1:K80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9.130000000000001" customWidth="1" style="592" min="1" max="1"/>
    <col width="11.88" customWidth="1" style="592" min="2" max="2"/>
    <col width="34.63" customWidth="1" style="592" min="3" max="3"/>
    <col width="12.25" customWidth="1" style="592" min="4" max="4"/>
    <col width="9.5" customWidth="1" style="592" min="5" max="10"/>
    <col width="19.75" customWidth="1" style="592" min="11" max="11"/>
  </cols>
  <sheetData>
    <row r="1" ht="11.25" customHeight="1" s="592">
      <c r="A1" s="288" t="n"/>
    </row>
    <row r="2" ht="11.25" customHeight="1" s="592"/>
    <row r="3" ht="11.25" customHeight="1" s="592"/>
    <row r="4" ht="11.25" customHeight="1" s="592"/>
    <row r="5" ht="11.25" customHeight="1" s="592"/>
    <row r="6" ht="6.75" customHeight="1" s="592">
      <c r="A6" s="381" t="n"/>
      <c r="B6" s="382" t="n"/>
      <c r="C6" s="382" t="n"/>
      <c r="D6" s="382" t="n"/>
      <c r="E6" s="382" t="n"/>
      <c r="F6" s="382" t="n"/>
      <c r="G6" s="382" t="n"/>
      <c r="H6" s="382" t="n"/>
      <c r="I6" s="382" t="n"/>
      <c r="J6" s="382" t="n"/>
      <c r="K6" s="382" t="n"/>
    </row>
    <row r="7">
      <c r="A7" s="291" t="inlineStr">
        <is>
          <t>แบบรายงานผลการดำเนินโครงการ ณ สิ้นสุดไตรมาส 2
ประจำปีงบประมาณ 2570</t>
        </is>
      </c>
    </row>
    <row r="8">
      <c r="A8" s="292" t="inlineStr">
        <is>
          <t>หน่วยงาน</t>
        </is>
      </c>
      <c r="C8" s="293">
        <f>'โครงการ'!D4                                    </f>
        <v/>
      </c>
      <c r="J8" s="294" t="inlineStr">
        <is>
          <t>คำอธิบายการกรอกแบบฟอร์ม</t>
        </is>
      </c>
    </row>
    <row r="9">
      <c r="A9" s="295">
        <f>'โครงการ'!D6                                    </f>
        <v/>
      </c>
      <c r="C9" s="296">
        <f>'โครงการ'!D7                                    </f>
        <v/>
      </c>
      <c r="K9" s="297" t="n"/>
    </row>
    <row r="10" ht="6" customHeight="1" s="592">
      <c r="A10" s="298" t="n"/>
      <c r="C10" s="321" t="n"/>
      <c r="D10" s="321" t="n"/>
      <c r="E10" s="321" t="n"/>
      <c r="F10" s="300" t="n"/>
      <c r="G10" s="301" t="n"/>
      <c r="H10" s="301" t="n"/>
      <c r="I10" s="301" t="n"/>
      <c r="J10" s="302" t="n"/>
      <c r="K10" s="302" t="n"/>
    </row>
    <row r="11">
      <c r="A11" s="298" t="inlineStr">
        <is>
          <t>หัวหน้าโครงการ</t>
        </is>
      </c>
      <c r="C11" s="630">
        <f>'รายงานQ1'!C11                                    </f>
        <v/>
      </c>
      <c r="D11" s="595" t="n"/>
      <c r="E11" s="596" t="n"/>
      <c r="F11" s="306" t="inlineStr">
        <is>
          <t>E-mail : @mfu</t>
        </is>
      </c>
      <c r="H11" s="631">
        <f>'รายงานQ1'!H11                                    </f>
        <v/>
      </c>
      <c r="I11" s="632" t="n"/>
      <c r="J11" s="633" t="n"/>
      <c r="K11" s="297" t="n"/>
    </row>
    <row r="12" ht="6" customHeight="1" s="592">
      <c r="A12" s="298" t="n"/>
      <c r="C12" s="321" t="n"/>
      <c r="D12" s="321" t="n"/>
      <c r="E12" s="321" t="n"/>
      <c r="F12" s="300" t="n"/>
      <c r="G12" s="301" t="n"/>
      <c r="H12" s="301" t="n"/>
      <c r="I12" s="301" t="n"/>
      <c r="J12" s="302" t="n"/>
      <c r="K12" s="302" t="n"/>
    </row>
    <row r="13">
      <c r="A13" s="298" t="inlineStr">
        <is>
          <t>ชื่อผู้รายงานผล</t>
        </is>
      </c>
      <c r="C13" s="630" t="n"/>
      <c r="D13" s="595" t="n"/>
      <c r="E13" s="596" t="n"/>
      <c r="F13" s="310" t="inlineStr">
        <is>
          <t xml:space="preserve"> ผู้รายงานผลกรอกข้อมูลแล้วเสร็จ</t>
        </is>
      </c>
      <c r="G13" s="311" t="n"/>
      <c r="H13" s="316" t="n"/>
      <c r="I13" s="316" t="n"/>
      <c r="J13" s="313" t="b">
        <v>0</v>
      </c>
      <c r="K13" s="314" t="n"/>
    </row>
    <row r="14" ht="6" customHeight="1" s="592">
      <c r="A14" s="298" t="n"/>
      <c r="C14" s="321" t="n"/>
      <c r="D14" s="321" t="n"/>
      <c r="E14" s="321" t="n"/>
      <c r="F14" s="300" t="n"/>
      <c r="G14" s="301" t="n"/>
      <c r="H14" s="301" t="n"/>
      <c r="I14" s="301" t="n"/>
      <c r="J14" s="302" t="n"/>
      <c r="K14" s="302" t="n"/>
    </row>
    <row r="15">
      <c r="A15" s="315" t="inlineStr">
        <is>
          <t>ณ สิ้นสุดไตรมาส ประเมินการดำเนินงานภาพรวมคิดเป็น</t>
        </is>
      </c>
      <c r="B15" s="300" t="n"/>
      <c r="C15" s="321" t="n"/>
      <c r="D15" s="316" t="inlineStr">
        <is>
          <t>ร้อยละ</t>
        </is>
      </c>
      <c r="E15" s="317" t="n">
        <v>0</v>
      </c>
      <c r="F15" s="300" t="n"/>
      <c r="G15" s="634">
        <f>IFERROR(__xludf.DUMMYFUNCTION("IFERROR(SPARKLINE(E15,{""charttype"",""bar"";""color1"",""orenge"";""max"",100}),""โปรดระบุร้อยละการดำเนินงานเป็นตัวเลช"")"),"")</f>
        <v/>
      </c>
      <c r="H15" s="595" t="n"/>
      <c r="I15" s="595" t="n"/>
      <c r="J15" s="596" t="n"/>
      <c r="K15" s="319" t="n"/>
    </row>
    <row r="16" ht="6" customHeight="1" s="592">
      <c r="A16" s="315" t="n"/>
      <c r="B16" s="321" t="n"/>
      <c r="C16" s="321" t="n"/>
      <c r="D16" s="321" t="n"/>
      <c r="E16" s="321" t="n"/>
      <c r="F16" s="321" t="n"/>
      <c r="G16" s="316" t="n"/>
      <c r="H16" s="316" t="n"/>
      <c r="I16" s="316" t="n"/>
      <c r="J16" s="321" t="n"/>
      <c r="K16" s="321" t="n"/>
    </row>
    <row r="17">
      <c r="A17" s="315" t="inlineStr">
        <is>
          <t>หัวหน้าโครงการส่งรายงานผลการดำเนินงาน ณ สิ้นสุดไตรมาส 2</t>
        </is>
      </c>
      <c r="B17" s="321" t="n"/>
      <c r="C17" s="321" t="n"/>
      <c r="D17" s="321" t="n"/>
      <c r="E17" s="313" t="b">
        <v>0</v>
      </c>
      <c r="F17" s="321" t="n"/>
      <c r="G17" s="316" t="inlineStr">
        <is>
          <t>ว/ด/ป ที่ส่งรายงาน</t>
        </is>
      </c>
      <c r="J17" s="322" t="n"/>
    </row>
    <row r="18">
      <c r="A18" s="298" t="n"/>
      <c r="B18" s="321" t="n"/>
      <c r="C18" s="321" t="n"/>
      <c r="D18" s="321" t="n"/>
      <c r="E18" s="321" t="n"/>
      <c r="F18" s="300" t="n"/>
      <c r="G18" s="321" t="n"/>
      <c r="H18" s="321" t="n"/>
      <c r="I18" s="300" t="n"/>
      <c r="J18" s="321" t="n"/>
      <c r="K18" s="321" t="n"/>
    </row>
    <row r="19" ht="6.75" customHeight="1" s="592">
      <c r="A19" s="323" t="n"/>
      <c r="B19" s="324" t="n"/>
      <c r="C19" s="324" t="n"/>
      <c r="D19" s="324" t="n"/>
      <c r="E19" s="324" t="n"/>
      <c r="F19" s="324" t="n"/>
      <c r="G19" s="324" t="n"/>
      <c r="H19" s="324" t="n"/>
      <c r="I19" s="324" t="n"/>
      <c r="J19" s="324" t="n"/>
      <c r="K19" s="325" t="n"/>
    </row>
    <row r="20">
      <c r="A20" s="326" t="inlineStr">
        <is>
          <t>ผลการดำเนินงานรายกิจกรรม</t>
        </is>
      </c>
    </row>
    <row r="21">
      <c r="A21" s="635" t="inlineStr">
        <is>
          <t>ลำดับที่</t>
        </is>
      </c>
      <c r="B21" s="636" t="inlineStr">
        <is>
          <t>รหัสรายการ
งบประมาณ</t>
        </is>
      </c>
      <c r="C21" s="637" t="inlineStr">
        <is>
          <t>ชื่อรายการงบประมาณ/ชื่อกิจกรรม</t>
        </is>
      </c>
      <c r="D21" s="638" t="inlineStr">
        <is>
          <t>สถานะ
การดำเนินงาน</t>
        </is>
      </c>
      <c r="E21" s="639" t="inlineStr">
        <is>
          <t>อธิบายผลการดำเนินงานตามสถานะ
(ให้ระบุว่า ณ สิ้นสุดไตรมาสมีการดำเนินงานอย่างไร)</t>
        </is>
      </c>
      <c r="F21" s="640" t="n"/>
      <c r="G21" s="640" t="n"/>
      <c r="H21" s="640" t="n"/>
      <c r="I21" s="640" t="n"/>
      <c r="J21" s="640" t="n"/>
      <c r="K21" s="641" t="n"/>
    </row>
    <row r="22">
      <c r="A22" s="642" t="n"/>
      <c r="B22" s="629" t="n"/>
      <c r="C22" s="629" t="n"/>
      <c r="D22" s="629" t="n"/>
      <c r="E22" s="642" t="n"/>
      <c r="F22" s="601" t="n"/>
      <c r="G22" s="601" t="n"/>
      <c r="H22" s="601" t="n"/>
      <c r="I22" s="601" t="n"/>
      <c r="J22" s="601" t="n"/>
      <c r="K22" s="602" t="n"/>
    </row>
    <row r="23">
      <c r="A23" s="338" t="n">
        <v>1</v>
      </c>
      <c r="B23" s="338">
        <f>IFERROR(__xludf.DUMMYFUNCTION("QUERY('รายการงบประมาณ'!$A$2:$F80,""SELECT A,B WHERE E&gt;0"")"),"#N/A")</f>
        <v/>
      </c>
      <c r="C23" s="339" t="n"/>
      <c r="D23" s="340" t="n"/>
      <c r="E23" s="643" t="n"/>
      <c r="F23" s="595" t="n"/>
      <c r="G23" s="595" t="n"/>
      <c r="H23" s="595" t="n"/>
      <c r="I23" s="595" t="n"/>
      <c r="J23" s="595" t="n"/>
      <c r="K23" s="596" t="n"/>
    </row>
    <row r="24">
      <c r="A24" s="338" t="n">
        <v>2</v>
      </c>
      <c r="B24" s="338" t="n"/>
      <c r="C24" s="339" t="n"/>
      <c r="D24" s="340" t="n"/>
      <c r="E24" s="643" t="n"/>
      <c r="F24" s="595" t="n"/>
      <c r="G24" s="595" t="n"/>
      <c r="H24" s="595" t="n"/>
      <c r="I24" s="595" t="n"/>
      <c r="J24" s="595" t="n"/>
      <c r="K24" s="596" t="n"/>
    </row>
    <row r="25">
      <c r="A25" s="338" t="n">
        <v>3</v>
      </c>
      <c r="B25" s="338" t="n"/>
      <c r="C25" s="339" t="n"/>
      <c r="D25" s="340" t="n"/>
      <c r="E25" s="643" t="n"/>
      <c r="F25" s="595" t="n"/>
      <c r="G25" s="595" t="n"/>
      <c r="H25" s="595" t="n"/>
      <c r="I25" s="595" t="n"/>
      <c r="J25" s="595" t="n"/>
      <c r="K25" s="596" t="n"/>
    </row>
    <row r="26">
      <c r="A26" s="338" t="n">
        <v>4</v>
      </c>
      <c r="B26" s="338" t="n"/>
      <c r="C26" s="339" t="n"/>
      <c r="D26" s="340" t="n"/>
      <c r="E26" s="643" t="n"/>
      <c r="F26" s="595" t="n"/>
      <c r="G26" s="595" t="n"/>
      <c r="H26" s="595" t="n"/>
      <c r="I26" s="595" t="n"/>
      <c r="J26" s="595" t="n"/>
      <c r="K26" s="596" t="n"/>
    </row>
    <row r="27" collapsed="1" s="592">
      <c r="A27" s="338" t="n">
        <v>5</v>
      </c>
      <c r="B27" s="338" t="n"/>
      <c r="C27" s="339" t="n"/>
      <c r="D27" s="340" t="n"/>
      <c r="E27" s="643" t="n"/>
      <c r="F27" s="595" t="n"/>
      <c r="G27" s="595" t="n"/>
      <c r="H27" s="595" t="n"/>
      <c r="I27" s="595" t="n"/>
      <c r="J27" s="595" t="n"/>
      <c r="K27" s="596" t="n"/>
    </row>
    <row r="28" hidden="1" outlineLevel="1" s="592">
      <c r="A28" s="338" t="n">
        <v>6</v>
      </c>
      <c r="B28" s="338" t="n"/>
      <c r="C28" s="339" t="n"/>
      <c r="D28" s="340" t="n"/>
      <c r="E28" s="643" t="n"/>
      <c r="F28" s="595" t="n"/>
      <c r="G28" s="595" t="n"/>
      <c r="H28" s="595" t="n"/>
      <c r="I28" s="595" t="n"/>
      <c r="J28" s="595" t="n"/>
      <c r="K28" s="596" t="n"/>
    </row>
    <row r="29" hidden="1" outlineLevel="1" s="592">
      <c r="A29" s="338" t="n">
        <v>7</v>
      </c>
      <c r="B29" s="338" t="n"/>
      <c r="C29" s="339" t="n"/>
      <c r="D29" s="340" t="n"/>
      <c r="E29" s="643" t="n"/>
      <c r="F29" s="595" t="n"/>
      <c r="G29" s="595" t="n"/>
      <c r="H29" s="595" t="n"/>
      <c r="I29" s="595" t="n"/>
      <c r="J29" s="595" t="n"/>
      <c r="K29" s="596" t="n"/>
    </row>
    <row r="30" hidden="1" outlineLevel="1" s="592">
      <c r="A30" s="338" t="n">
        <v>8</v>
      </c>
      <c r="B30" s="338" t="n"/>
      <c r="C30" s="339" t="n"/>
      <c r="D30" s="340" t="n"/>
      <c r="E30" s="643" t="n"/>
      <c r="F30" s="595" t="n"/>
      <c r="G30" s="595" t="n"/>
      <c r="H30" s="595" t="n"/>
      <c r="I30" s="595" t="n"/>
      <c r="J30" s="595" t="n"/>
      <c r="K30" s="596" t="n"/>
    </row>
    <row r="31" hidden="1" outlineLevel="1" s="592">
      <c r="A31" s="338" t="n">
        <v>9</v>
      </c>
      <c r="B31" s="338" t="n"/>
      <c r="C31" s="339" t="n"/>
      <c r="D31" s="340" t="n"/>
      <c r="E31" s="643" t="n"/>
      <c r="F31" s="595" t="n"/>
      <c r="G31" s="595" t="n"/>
      <c r="H31" s="595" t="n"/>
      <c r="I31" s="595" t="n"/>
      <c r="J31" s="595" t="n"/>
      <c r="K31" s="596" t="n"/>
    </row>
    <row r="32" hidden="1" outlineLevel="1" s="592">
      <c r="A32" s="338" t="n">
        <v>10</v>
      </c>
      <c r="B32" s="338" t="n"/>
      <c r="C32" s="339" t="n"/>
      <c r="D32" s="340" t="n"/>
      <c r="E32" s="643" t="n"/>
      <c r="F32" s="595" t="n"/>
      <c r="G32" s="595" t="n"/>
      <c r="H32" s="595" t="n"/>
      <c r="I32" s="595" t="n"/>
      <c r="J32" s="595" t="n"/>
      <c r="K32" s="596" t="n"/>
    </row>
    <row r="33" hidden="1" outlineLevel="1" s="592">
      <c r="A33" s="338" t="n">
        <v>11</v>
      </c>
      <c r="B33" s="338" t="n"/>
      <c r="C33" s="339" t="n"/>
      <c r="D33" s="340" t="n"/>
      <c r="E33" s="643" t="n"/>
      <c r="F33" s="595" t="n"/>
      <c r="G33" s="595" t="n"/>
      <c r="H33" s="595" t="n"/>
      <c r="I33" s="595" t="n"/>
      <c r="J33" s="595" t="n"/>
      <c r="K33" s="596" t="n"/>
    </row>
    <row r="34" hidden="1" outlineLevel="1" s="592">
      <c r="A34" s="338" t="n">
        <v>12</v>
      </c>
      <c r="B34" s="338" t="n"/>
      <c r="C34" s="339" t="n"/>
      <c r="D34" s="340" t="n"/>
      <c r="E34" s="643" t="n"/>
      <c r="F34" s="595" t="n"/>
      <c r="G34" s="595" t="n"/>
      <c r="H34" s="595" t="n"/>
      <c r="I34" s="595" t="n"/>
      <c r="J34" s="595" t="n"/>
      <c r="K34" s="596" t="n"/>
    </row>
    <row r="35" hidden="1" outlineLevel="1" s="592">
      <c r="A35" s="338" t="n">
        <v>13</v>
      </c>
      <c r="B35" s="338" t="n"/>
      <c r="C35" s="339" t="n"/>
      <c r="D35" s="340" t="n"/>
      <c r="E35" s="643" t="n"/>
      <c r="F35" s="595" t="n"/>
      <c r="G35" s="595" t="n"/>
      <c r="H35" s="595" t="n"/>
      <c r="I35" s="595" t="n"/>
      <c r="J35" s="595" t="n"/>
      <c r="K35" s="596" t="n"/>
    </row>
    <row r="36" hidden="1" outlineLevel="1" s="592">
      <c r="A36" s="338" t="n">
        <v>14</v>
      </c>
      <c r="B36" s="338" t="n"/>
      <c r="C36" s="339" t="n"/>
      <c r="D36" s="340" t="n"/>
      <c r="E36" s="643" t="n"/>
      <c r="F36" s="595" t="n"/>
      <c r="G36" s="595" t="n"/>
      <c r="H36" s="595" t="n"/>
      <c r="I36" s="595" t="n"/>
      <c r="J36" s="595" t="n"/>
      <c r="K36" s="596" t="n"/>
    </row>
    <row r="37" hidden="1" outlineLevel="1" s="592">
      <c r="A37" s="338" t="n">
        <v>15</v>
      </c>
      <c r="B37" s="338" t="n"/>
      <c r="C37" s="339" t="n"/>
      <c r="D37" s="340" t="n"/>
      <c r="E37" s="643" t="n"/>
      <c r="F37" s="595" t="n"/>
      <c r="G37" s="595" t="n"/>
      <c r="H37" s="595" t="n"/>
      <c r="I37" s="595" t="n"/>
      <c r="J37" s="595" t="n"/>
      <c r="K37" s="596" t="n"/>
    </row>
    <row r="38" hidden="1" outlineLevel="1" s="592">
      <c r="A38" s="338" t="n">
        <v>16</v>
      </c>
      <c r="B38" s="338" t="n"/>
      <c r="C38" s="339" t="n"/>
      <c r="D38" s="340" t="n"/>
      <c r="E38" s="643" t="n"/>
      <c r="F38" s="595" t="n"/>
      <c r="G38" s="595" t="n"/>
      <c r="H38" s="595" t="n"/>
      <c r="I38" s="595" t="n"/>
      <c r="J38" s="595" t="n"/>
      <c r="K38" s="596" t="n"/>
    </row>
    <row r="39" hidden="1" outlineLevel="1" s="592">
      <c r="A39" s="338" t="n">
        <v>17</v>
      </c>
      <c r="B39" s="338" t="n"/>
      <c r="C39" s="339" t="n"/>
      <c r="D39" s="340" t="n"/>
      <c r="E39" s="643" t="n"/>
      <c r="F39" s="595" t="n"/>
      <c r="G39" s="595" t="n"/>
      <c r="H39" s="595" t="n"/>
      <c r="I39" s="595" t="n"/>
      <c r="J39" s="595" t="n"/>
      <c r="K39" s="596" t="n"/>
    </row>
    <row r="40" hidden="1" outlineLevel="1" s="592">
      <c r="A40" s="338" t="n">
        <v>18</v>
      </c>
      <c r="B40" s="338" t="n"/>
      <c r="C40" s="339" t="n"/>
      <c r="D40" s="340" t="n"/>
      <c r="E40" s="643" t="n"/>
      <c r="F40" s="595" t="n"/>
      <c r="G40" s="595" t="n"/>
      <c r="H40" s="595" t="n"/>
      <c r="I40" s="595" t="n"/>
      <c r="J40" s="595" t="n"/>
      <c r="K40" s="596" t="n"/>
    </row>
    <row r="41" hidden="1" outlineLevel="1" s="592">
      <c r="A41" s="338" t="n">
        <v>19</v>
      </c>
      <c r="B41" s="338" t="n"/>
      <c r="C41" s="339" t="n"/>
      <c r="D41" s="340" t="n"/>
      <c r="E41" s="643" t="n"/>
      <c r="F41" s="595" t="n"/>
      <c r="G41" s="595" t="n"/>
      <c r="H41" s="595" t="n"/>
      <c r="I41" s="595" t="n"/>
      <c r="J41" s="595" t="n"/>
      <c r="K41" s="596" t="n"/>
    </row>
    <row r="42" hidden="1" outlineLevel="1" s="592">
      <c r="A42" s="338" t="n">
        <v>20</v>
      </c>
      <c r="B42" s="338" t="n"/>
      <c r="C42" s="339" t="n"/>
      <c r="D42" s="340" t="n"/>
      <c r="E42" s="643" t="n"/>
      <c r="F42" s="595" t="n"/>
      <c r="G42" s="595" t="n"/>
      <c r="H42" s="595" t="n"/>
      <c r="I42" s="595" t="n"/>
      <c r="J42" s="595" t="n"/>
      <c r="K42" s="596" t="n"/>
    </row>
    <row r="43">
      <c r="A43" s="345" t="inlineStr">
        <is>
          <t>คำอธิบาย สถานะการดำเนินงาน</t>
        </is>
      </c>
      <c r="B43" s="343" t="n"/>
      <c r="C43" s="548" t="n"/>
      <c r="D43" s="548" t="n"/>
      <c r="E43" s="548" t="n"/>
      <c r="F43" s="548" t="n"/>
      <c r="G43" s="548" t="n"/>
      <c r="H43" s="548" t="n"/>
      <c r="I43" s="548" t="n"/>
      <c r="J43" s="548" t="n"/>
      <c r="K43" s="548" t="n"/>
    </row>
    <row r="44">
      <c r="A44" s="345" t="inlineStr">
        <is>
          <t>หมายเหตุ</t>
        </is>
      </c>
      <c r="B44" s="343" t="inlineStr">
        <is>
          <t>โปรดระบุตัวเลขสถานะการดำเนินงาน ในช่อง "สถานะการดำเนินงาน"</t>
        </is>
      </c>
    </row>
    <row r="45">
      <c r="A45" s="346" t="n"/>
      <c r="B45" s="347" t="n">
        <v>1</v>
      </c>
      <c r="C45" s="348" t="inlineStr">
        <is>
          <t>ไม่ได้ดำเนินงาน</t>
        </is>
      </c>
      <c r="D45" s="349" t="inlineStr">
        <is>
          <t>หมายถึง ถึงแผนที่จะต้องดำเนินงานแล้ว แต่ "ไม่ได้ดำเนินการ" เนื่องจากมีเหตุจำเป็น...</t>
        </is>
      </c>
    </row>
    <row r="46">
      <c r="A46" s="346" t="n"/>
      <c r="B46" s="350" t="n">
        <v>2</v>
      </c>
      <c r="C46" s="348" t="inlineStr">
        <is>
          <t>ไม่ถึงแผนที่กำหนด</t>
        </is>
      </c>
      <c r="D46" s="349" t="inlineStr">
        <is>
          <t>หมายถึง มีแผนการดำเนินงานในไตรมาสอื่น</t>
        </is>
      </c>
    </row>
    <row r="47">
      <c r="A47" s="346" t="n"/>
      <c r="B47" s="350" t="n">
        <v>3</v>
      </c>
      <c r="C47" s="348" t="inlineStr">
        <is>
          <t>อยู่ระหว่างการดำเนินงาน</t>
        </is>
      </c>
      <c r="D47" s="348" t="inlineStr">
        <is>
          <t>หมายถึง ดำเนินงานแล้ว แต่ยังไม่เเล้วเสร็จ หรือมีแผนดำเนินงานครั้งที่ 2/3/4</t>
        </is>
      </c>
    </row>
    <row r="48">
      <c r="A48" s="346" t="n"/>
      <c r="B48" s="351" t="n">
        <v>4</v>
      </c>
      <c r="C48" s="348" t="inlineStr">
        <is>
          <t>ดำเนินการแล้ว</t>
        </is>
      </c>
      <c r="D48" s="348" t="inlineStr">
        <is>
          <t>หมายถึง ดำเนินงานแล้วเสร็จ</t>
        </is>
      </c>
    </row>
    <row r="49" hidden="1" ht="6.75" customHeight="1" s="592">
      <c r="A49" s="352" t="n"/>
      <c r="B49" s="353" t="n"/>
      <c r="C49" s="353" t="n"/>
      <c r="D49" s="353" t="n"/>
      <c r="E49" s="353" t="n"/>
      <c r="F49" s="353" t="n"/>
      <c r="G49" s="353" t="n"/>
      <c r="H49" s="353" t="n"/>
      <c r="I49" s="353" t="n"/>
      <c r="J49" s="353" t="n"/>
      <c r="K49" s="353" t="n"/>
    </row>
    <row r="50" hidden="1" s="592">
      <c r="A50" s="644" t="inlineStr">
        <is>
          <t>ผลการดำเนินงาน</t>
        </is>
      </c>
      <c r="B50" s="595" t="n"/>
      <c r="C50" s="595" t="n"/>
      <c r="D50" s="595" t="n"/>
      <c r="E50" s="595" t="n"/>
      <c r="F50" s="595" t="n"/>
      <c r="G50" s="595" t="n"/>
      <c r="H50" s="595" t="n"/>
      <c r="I50" s="595" t="n"/>
      <c r="J50" s="595" t="n"/>
      <c r="K50" s="596" t="n"/>
    </row>
    <row r="51" hidden="1" s="592">
      <c r="A51" s="645" t="inlineStr">
        <is>
          <t>ตัวชี้วัดความสำเร็จของโครงการ</t>
        </is>
      </c>
      <c r="B51" s="640" t="n"/>
      <c r="C51" s="641" t="n"/>
      <c r="D51" s="645" t="inlineStr">
        <is>
          <t>หน่วยนับ</t>
        </is>
      </c>
      <c r="E51" s="645" t="inlineStr">
        <is>
          <t>แผน
ปี 2570</t>
        </is>
      </c>
      <c r="F51" s="645" t="inlineStr">
        <is>
          <t>ผล
ปี 2570</t>
        </is>
      </c>
      <c r="G51" s="645" t="inlineStr">
        <is>
          <t>การรายงานผล</t>
        </is>
      </c>
      <c r="H51" s="641" t="n"/>
      <c r="I51" s="646" t="inlineStr">
        <is>
          <t>อธิบายผลการดำเนินงาน
(รายงานผลเทียบแผน อย่างไร)</t>
        </is>
      </c>
      <c r="J51" s="640" t="n"/>
      <c r="K51" s="641" t="n"/>
    </row>
    <row r="52" hidden="1" s="592">
      <c r="A52" s="642" t="n"/>
      <c r="B52" s="601" t="n"/>
      <c r="C52" s="602" t="n"/>
      <c r="D52" s="629" t="n"/>
      <c r="E52" s="629" t="n"/>
      <c r="F52" s="629" t="n"/>
      <c r="G52" s="642" t="n"/>
      <c r="H52" s="602" t="n"/>
      <c r="I52" s="642" t="n"/>
      <c r="J52" s="601" t="n"/>
      <c r="K52" s="602" t="n"/>
    </row>
    <row r="53" hidden="1" s="592">
      <c r="A53" s="647" t="inlineStr">
        <is>
          <t xml:space="preserve">เชิงปริมาณ </t>
        </is>
      </c>
      <c r="B53" s="595" t="n"/>
      <c r="C53" s="596" t="n"/>
      <c r="D53" s="367" t="n"/>
      <c r="E53" s="367" t="n"/>
      <c r="F53" s="368" t="inlineStr">
        <is>
          <t>ไตรมาส 2</t>
        </is>
      </c>
      <c r="G53" s="369" t="inlineStr">
        <is>
          <t>ระบุได้</t>
        </is>
      </c>
      <c r="H53" s="370" t="inlineStr">
        <is>
          <t>ระบุไม่ได้</t>
        </is>
      </c>
      <c r="I53" s="368" t="n"/>
      <c r="J53" s="595" t="n"/>
      <c r="K53" s="596" t="n"/>
    </row>
    <row r="54" hidden="1" s="592">
      <c r="A54" s="648">
        <f>IFERROR(__xludf.DUMMYFUNCTION("QUERY('โครงการ'!C65:J74,""SELECT C WHERE C IS NOT NULL"")"),"#N/A")</f>
        <v/>
      </c>
      <c r="B54" s="595" t="n"/>
      <c r="C54" s="596" t="n"/>
      <c r="D54" s="450">
        <f>IFERROR(__xludf.DUMMYFUNCTION("QUERY('โครงการ'!C65:J74,""SELECT I,J WHERE C IS NOT NULL"")"),"#N/A")</f>
        <v/>
      </c>
      <c r="E54" s="450" t="n"/>
      <c r="F54" s="374" t="n"/>
      <c r="G54" s="375" t="b">
        <v>0</v>
      </c>
      <c r="H54" s="376" t="b">
        <v>0</v>
      </c>
      <c r="I54" s="649" t="n"/>
      <c r="J54" s="595" t="n"/>
      <c r="K54" s="596" t="n"/>
    </row>
    <row r="55" hidden="1" s="592">
      <c r="A55" s="648" t="n"/>
      <c r="B55" s="595" t="n"/>
      <c r="C55" s="596" t="n"/>
      <c r="D55" s="450" t="n"/>
      <c r="E55" s="450" t="n"/>
      <c r="F55" s="374" t="n"/>
      <c r="G55" s="375" t="b">
        <v>0</v>
      </c>
      <c r="H55" s="376" t="b">
        <v>0</v>
      </c>
      <c r="I55" s="649" t="n"/>
      <c r="J55" s="595" t="n"/>
      <c r="K55" s="596" t="n"/>
    </row>
    <row r="56" hidden="1" s="592">
      <c r="A56" s="648" t="n"/>
      <c r="B56" s="595" t="n"/>
      <c r="C56" s="596" t="n"/>
      <c r="D56" s="450" t="n"/>
      <c r="E56" s="450" t="n"/>
      <c r="F56" s="374" t="n"/>
      <c r="G56" s="375" t="b">
        <v>0</v>
      </c>
      <c r="H56" s="376" t="b">
        <v>0</v>
      </c>
      <c r="I56" s="649" t="n"/>
      <c r="J56" s="595" t="n"/>
      <c r="K56" s="596" t="n"/>
    </row>
    <row r="57" hidden="1" s="592">
      <c r="A57" s="648" t="n"/>
      <c r="B57" s="595" t="n"/>
      <c r="C57" s="596" t="n"/>
      <c r="D57" s="450" t="n"/>
      <c r="E57" s="450" t="n"/>
      <c r="F57" s="374" t="n"/>
      <c r="G57" s="375" t="b">
        <v>0</v>
      </c>
      <c r="H57" s="376" t="b">
        <v>0</v>
      </c>
      <c r="I57" s="649" t="n"/>
      <c r="J57" s="595" t="n"/>
      <c r="K57" s="596" t="n"/>
    </row>
    <row r="58" hidden="1" collapsed="1" s="592">
      <c r="A58" s="648" t="n"/>
      <c r="B58" s="595" t="n"/>
      <c r="C58" s="596" t="n"/>
      <c r="D58" s="450" t="n"/>
      <c r="E58" s="450" t="n"/>
      <c r="F58" s="374" t="n"/>
      <c r="G58" s="375" t="b">
        <v>0</v>
      </c>
      <c r="H58" s="376" t="b">
        <v>0</v>
      </c>
      <c r="I58" s="649" t="n"/>
      <c r="J58" s="595" t="n"/>
      <c r="K58" s="596" t="n"/>
    </row>
    <row r="59" hidden="1" outlineLevel="1" s="592">
      <c r="A59" s="648" t="n"/>
      <c r="B59" s="595" t="n"/>
      <c r="C59" s="596" t="n"/>
      <c r="D59" s="450" t="n"/>
      <c r="E59" s="450" t="n"/>
      <c r="F59" s="374" t="n"/>
      <c r="G59" s="375" t="b">
        <v>0</v>
      </c>
      <c r="H59" s="376" t="b">
        <v>0</v>
      </c>
      <c r="I59" s="649" t="n"/>
      <c r="J59" s="595" t="n"/>
      <c r="K59" s="596" t="n"/>
    </row>
    <row r="60" hidden="1" outlineLevel="1" s="592">
      <c r="A60" s="648" t="n"/>
      <c r="B60" s="595" t="n"/>
      <c r="C60" s="596" t="n"/>
      <c r="D60" s="450" t="n"/>
      <c r="E60" s="450" t="n"/>
      <c r="F60" s="374" t="n"/>
      <c r="G60" s="375" t="b">
        <v>0</v>
      </c>
      <c r="H60" s="376" t="b">
        <v>0</v>
      </c>
      <c r="I60" s="649" t="n"/>
      <c r="J60" s="595" t="n"/>
      <c r="K60" s="596" t="n"/>
    </row>
    <row r="61" hidden="1" outlineLevel="1" s="592">
      <c r="A61" s="648" t="n"/>
      <c r="B61" s="595" t="n"/>
      <c r="C61" s="596" t="n"/>
      <c r="D61" s="450" t="n"/>
      <c r="E61" s="450" t="n"/>
      <c r="F61" s="374" t="n"/>
      <c r="G61" s="375" t="b">
        <v>0</v>
      </c>
      <c r="H61" s="376" t="b">
        <v>0</v>
      </c>
      <c r="I61" s="649" t="n"/>
      <c r="J61" s="595" t="n"/>
      <c r="K61" s="596" t="n"/>
    </row>
    <row r="62" hidden="1" outlineLevel="1" s="592">
      <c r="A62" s="648" t="n"/>
      <c r="B62" s="595" t="n"/>
      <c r="C62" s="596" t="n"/>
      <c r="D62" s="450" t="n"/>
      <c r="E62" s="450" t="n"/>
      <c r="F62" s="374" t="n"/>
      <c r="G62" s="375" t="b">
        <v>0</v>
      </c>
      <c r="H62" s="376" t="b">
        <v>0</v>
      </c>
      <c r="I62" s="649" t="n"/>
      <c r="J62" s="595" t="n"/>
      <c r="K62" s="596" t="n"/>
    </row>
    <row r="63" hidden="1" outlineLevel="1" s="592">
      <c r="A63" s="648" t="n"/>
      <c r="B63" s="595" t="n"/>
      <c r="C63" s="596" t="n"/>
      <c r="D63" s="450" t="n"/>
      <c r="E63" s="450" t="n"/>
      <c r="F63" s="374" t="n"/>
      <c r="G63" s="375" t="b">
        <v>0</v>
      </c>
      <c r="H63" s="376" t="b">
        <v>0</v>
      </c>
      <c r="I63" s="649" t="n"/>
      <c r="J63" s="595" t="n"/>
      <c r="K63" s="596" t="n"/>
    </row>
    <row r="64" hidden="1" s="592">
      <c r="A64" s="647" t="inlineStr">
        <is>
          <t xml:space="preserve">เชิงคุณภาพ </t>
        </is>
      </c>
      <c r="B64" s="595" t="n"/>
      <c r="C64" s="596" t="n"/>
      <c r="D64" s="368" t="n"/>
      <c r="E64" s="368" t="n"/>
      <c r="F64" s="368" t="n"/>
      <c r="G64" s="367" t="n"/>
      <c r="H64" s="367" t="n"/>
      <c r="I64" s="368" t="n"/>
      <c r="J64" s="595" t="n"/>
      <c r="K64" s="596" t="n"/>
    </row>
    <row r="65" hidden="1" s="592">
      <c r="A65" s="648">
        <f>IFERROR(__xludf.DUMMYFUNCTION("QUERY('โครงการ'!C76:J85,""SELECT C WHERE C IS NOT NULL"")"),"#N/A")</f>
        <v/>
      </c>
      <c r="B65" s="595" t="n"/>
      <c r="C65" s="596" t="n"/>
      <c r="D65" s="450">
        <f>IFERROR(__xludf.DUMMYFUNCTION("QUERY('โครงการ'!C76:J85,""SELECT I,J WHERE C IS NOT NULL"")"),"#N/A")</f>
        <v/>
      </c>
      <c r="E65" s="450" t="n"/>
      <c r="F65" s="374" t="n"/>
      <c r="G65" s="375" t="b">
        <v>0</v>
      </c>
      <c r="H65" s="376" t="b">
        <v>0</v>
      </c>
      <c r="I65" s="649" t="n"/>
      <c r="J65" s="595" t="n"/>
      <c r="K65" s="596" t="n"/>
    </row>
    <row r="66" hidden="1" s="592">
      <c r="A66" s="648" t="n"/>
      <c r="B66" s="595" t="n"/>
      <c r="C66" s="596" t="n"/>
      <c r="D66" s="450" t="n"/>
      <c r="E66" s="450" t="n"/>
      <c r="F66" s="374" t="n"/>
      <c r="G66" s="375" t="b">
        <v>0</v>
      </c>
      <c r="H66" s="376" t="b">
        <v>0</v>
      </c>
      <c r="I66" s="649" t="n"/>
      <c r="J66" s="595" t="n"/>
      <c r="K66" s="596" t="n"/>
    </row>
    <row r="67" hidden="1" s="592">
      <c r="A67" s="648" t="n"/>
      <c r="B67" s="595" t="n"/>
      <c r="C67" s="596" t="n"/>
      <c r="D67" s="450" t="n"/>
      <c r="E67" s="450" t="n"/>
      <c r="F67" s="374" t="n"/>
      <c r="G67" s="375" t="b">
        <v>0</v>
      </c>
      <c r="H67" s="376" t="b">
        <v>0</v>
      </c>
      <c r="I67" s="649" t="n"/>
      <c r="J67" s="595" t="n"/>
      <c r="K67" s="596" t="n"/>
    </row>
    <row r="68" hidden="1" s="592">
      <c r="A68" s="648" t="n"/>
      <c r="B68" s="595" t="n"/>
      <c r="C68" s="596" t="n"/>
      <c r="D68" s="450" t="n"/>
      <c r="E68" s="450" t="n"/>
      <c r="F68" s="374" t="n"/>
      <c r="G68" s="375" t="b">
        <v>0</v>
      </c>
      <c r="H68" s="376" t="b">
        <v>0</v>
      </c>
      <c r="I68" s="649" t="n"/>
      <c r="J68" s="595" t="n"/>
      <c r="K68" s="596" t="n"/>
    </row>
    <row r="69" hidden="1" collapsed="1" s="592">
      <c r="A69" s="648" t="n"/>
      <c r="B69" s="595" t="n"/>
      <c r="C69" s="596" t="n"/>
      <c r="D69" s="450" t="n"/>
      <c r="E69" s="450" t="n"/>
      <c r="F69" s="374" t="n"/>
      <c r="G69" s="375" t="b">
        <v>0</v>
      </c>
      <c r="H69" s="376" t="b">
        <v>0</v>
      </c>
      <c r="I69" s="649" t="n"/>
      <c r="J69" s="595" t="n"/>
      <c r="K69" s="596" t="n"/>
    </row>
    <row r="70" hidden="1" outlineLevel="1" s="592">
      <c r="A70" s="648" t="n"/>
      <c r="B70" s="595" t="n"/>
      <c r="C70" s="596" t="n"/>
      <c r="D70" s="450" t="n"/>
      <c r="E70" s="450" t="n"/>
      <c r="F70" s="374" t="n"/>
      <c r="G70" s="375" t="b">
        <v>0</v>
      </c>
      <c r="H70" s="376" t="b">
        <v>0</v>
      </c>
      <c r="I70" s="649" t="n"/>
      <c r="J70" s="595" t="n"/>
      <c r="K70" s="596" t="n"/>
    </row>
    <row r="71" hidden="1" outlineLevel="1" s="592">
      <c r="A71" s="648" t="n"/>
      <c r="B71" s="595" t="n"/>
      <c r="C71" s="596" t="n"/>
      <c r="D71" s="450" t="n"/>
      <c r="E71" s="450" t="n"/>
      <c r="F71" s="374" t="n"/>
      <c r="G71" s="375" t="b">
        <v>0</v>
      </c>
      <c r="H71" s="376" t="b">
        <v>0</v>
      </c>
      <c r="I71" s="649" t="n"/>
      <c r="J71" s="595" t="n"/>
      <c r="K71" s="596" t="n"/>
    </row>
    <row r="72" hidden="1" outlineLevel="1" s="592">
      <c r="A72" s="648" t="n"/>
      <c r="B72" s="595" t="n"/>
      <c r="C72" s="596" t="n"/>
      <c r="D72" s="450" t="n"/>
      <c r="E72" s="450" t="n"/>
      <c r="F72" s="374" t="n"/>
      <c r="G72" s="375" t="b">
        <v>0</v>
      </c>
      <c r="H72" s="376" t="b">
        <v>0</v>
      </c>
      <c r="I72" s="649" t="n"/>
      <c r="J72" s="595" t="n"/>
      <c r="K72" s="596" t="n"/>
    </row>
    <row r="73" hidden="1" outlineLevel="1" s="592">
      <c r="A73" s="648" t="n"/>
      <c r="B73" s="595" t="n"/>
      <c r="C73" s="596" t="n"/>
      <c r="D73" s="450" t="n"/>
      <c r="E73" s="450" t="n"/>
      <c r="F73" s="374" t="n"/>
      <c r="G73" s="375" t="b">
        <v>0</v>
      </c>
      <c r="H73" s="376" t="b">
        <v>0</v>
      </c>
      <c r="I73" s="649" t="n"/>
      <c r="J73" s="595" t="n"/>
      <c r="K73" s="596" t="n"/>
    </row>
    <row r="74" hidden="1" outlineLevel="1" s="592">
      <c r="A74" s="648" t="n"/>
      <c r="B74" s="595" t="n"/>
      <c r="C74" s="596" t="n"/>
      <c r="D74" s="450" t="n"/>
      <c r="E74" s="450" t="n"/>
      <c r="F74" s="374" t="n"/>
      <c r="G74" s="375" t="b">
        <v>0</v>
      </c>
      <c r="H74" s="376" t="b">
        <v>0</v>
      </c>
      <c r="I74" s="649" t="n"/>
      <c r="J74" s="595" t="n"/>
      <c r="K74" s="596" t="n"/>
    </row>
    <row r="75" hidden="1" ht="6.75" customHeight="1" s="592">
      <c r="A75" s="378" t="n"/>
      <c r="B75" s="378" t="n"/>
      <c r="C75" s="378" t="n"/>
      <c r="D75" s="378" t="n"/>
      <c r="E75" s="378" t="n"/>
      <c r="F75" s="378" t="n"/>
      <c r="G75" s="378" t="n"/>
      <c r="H75" s="378" t="n"/>
      <c r="I75" s="378" t="n"/>
      <c r="J75" s="378" t="n"/>
      <c r="K75" s="378" t="n"/>
    </row>
    <row r="76" hidden="1" s="592">
      <c r="A76" s="379" t="n"/>
      <c r="B76" s="379" t="n"/>
      <c r="C76" s="379" t="n"/>
      <c r="D76" s="379" t="n"/>
      <c r="E76" s="379" t="n"/>
      <c r="F76" s="379" t="n"/>
      <c r="G76" s="379" t="n"/>
      <c r="H76" s="379" t="n"/>
      <c r="I76" s="379" t="n"/>
      <c r="J76" s="379" t="n"/>
      <c r="K76" s="379" t="n"/>
    </row>
    <row r="77">
      <c r="A77" s="548" t="n"/>
      <c r="B77" s="548" t="n"/>
      <c r="C77" s="548" t="n"/>
      <c r="D77" s="548" t="n"/>
      <c r="E77" s="548" t="n"/>
      <c r="F77" s="548" t="n"/>
      <c r="G77" s="548" t="n"/>
      <c r="H77" s="548" t="n"/>
      <c r="I77" s="548" t="n"/>
      <c r="J77" s="548" t="n"/>
      <c r="K77" s="548" t="n"/>
    </row>
    <row r="78">
      <c r="A78" s="548" t="n"/>
      <c r="B78" s="548" t="n"/>
      <c r="C78" s="548" t="n"/>
      <c r="D78" s="548" t="n"/>
      <c r="E78" s="548" t="n"/>
      <c r="F78" s="548" t="n"/>
      <c r="G78" s="548" t="n"/>
      <c r="H78" s="548" t="n"/>
      <c r="I78" s="548" t="n"/>
      <c r="J78" s="548" t="n"/>
      <c r="K78" s="548" t="n"/>
    </row>
    <row r="79">
      <c r="A79" s="548" t="n"/>
      <c r="B79" s="548" t="n"/>
      <c r="C79" s="548" t="n"/>
      <c r="D79" s="548" t="n"/>
      <c r="E79" s="548" t="n"/>
      <c r="F79" s="548" t="n"/>
      <c r="G79" s="548" t="n"/>
      <c r="H79" s="548" t="n"/>
      <c r="I79" s="548" t="n"/>
      <c r="J79" s="548" t="n"/>
      <c r="K79" s="548" t="n"/>
    </row>
    <row r="80">
      <c r="A80" s="548" t="n"/>
      <c r="B80" s="548" t="n"/>
      <c r="C80" s="548" t="n"/>
      <c r="D80" s="548" t="n"/>
      <c r="E80" s="548" t="n"/>
      <c r="F80" s="548" t="n"/>
      <c r="G80" s="548" t="n"/>
      <c r="H80" s="548" t="n"/>
      <c r="I80" s="548" t="n"/>
      <c r="J80" s="548" t="n"/>
      <c r="K80" s="548" t="n"/>
    </row>
  </sheetData>
  <mergeCells count="101">
    <mergeCell ref="I54:K54"/>
    <mergeCell ref="E36:K36"/>
    <mergeCell ref="I72:K72"/>
    <mergeCell ref="D21:D22"/>
    <mergeCell ref="D46:K46"/>
    <mergeCell ref="I56:K56"/>
    <mergeCell ref="A57:C57"/>
    <mergeCell ref="H11:J11"/>
    <mergeCell ref="A71:C71"/>
    <mergeCell ref="A7:K7"/>
    <mergeCell ref="I73:K73"/>
    <mergeCell ref="A51:C52"/>
    <mergeCell ref="I63:K63"/>
    <mergeCell ref="E39:K39"/>
    <mergeCell ref="A63:C63"/>
    <mergeCell ref="I59:K59"/>
    <mergeCell ref="E29:K29"/>
    <mergeCell ref="I65:K65"/>
    <mergeCell ref="E38:K38"/>
    <mergeCell ref="I74:K74"/>
    <mergeCell ref="E31:K31"/>
    <mergeCell ref="E40:K40"/>
    <mergeCell ref="A69:C69"/>
    <mergeCell ref="A9:B9"/>
    <mergeCell ref="I51:K52"/>
    <mergeCell ref="A66:C66"/>
    <mergeCell ref="E26:K26"/>
    <mergeCell ref="C8:I8"/>
    <mergeCell ref="A11:B11"/>
    <mergeCell ref="A55:C55"/>
    <mergeCell ref="E25:K25"/>
    <mergeCell ref="I62:K62"/>
    <mergeCell ref="A1:K5"/>
    <mergeCell ref="I64:K64"/>
    <mergeCell ref="E42:K42"/>
    <mergeCell ref="A21:A22"/>
    <mergeCell ref="C9:J9"/>
    <mergeCell ref="C13:E13"/>
    <mergeCell ref="A58:C58"/>
    <mergeCell ref="A67:C67"/>
    <mergeCell ref="A8:B8"/>
    <mergeCell ref="A73:C73"/>
    <mergeCell ref="A60:C60"/>
    <mergeCell ref="E30:K30"/>
    <mergeCell ref="A10:B10"/>
    <mergeCell ref="E21:K22"/>
    <mergeCell ref="G17:I17"/>
    <mergeCell ref="I66:K66"/>
    <mergeCell ref="E51:E52"/>
    <mergeCell ref="I53:K53"/>
    <mergeCell ref="E32:K32"/>
    <mergeCell ref="E41:K41"/>
    <mergeCell ref="I68:K68"/>
    <mergeCell ref="I55:K55"/>
    <mergeCell ref="C11:E11"/>
    <mergeCell ref="D45:K45"/>
    <mergeCell ref="F51:F52"/>
    <mergeCell ref="I67:K67"/>
    <mergeCell ref="C21:C22"/>
    <mergeCell ref="J8:K8"/>
    <mergeCell ref="A62:C62"/>
    <mergeCell ref="E24:K24"/>
    <mergeCell ref="E33:K33"/>
    <mergeCell ref="A72:C72"/>
    <mergeCell ref="A12:B12"/>
    <mergeCell ref="D48:K48"/>
    <mergeCell ref="E35:K35"/>
    <mergeCell ref="A14:B14"/>
    <mergeCell ref="A59:C59"/>
    <mergeCell ref="A64:C64"/>
    <mergeCell ref="E28:K28"/>
    <mergeCell ref="A61:C61"/>
    <mergeCell ref="I70:K70"/>
    <mergeCell ref="A70:C70"/>
    <mergeCell ref="I57:K57"/>
    <mergeCell ref="G15:J15"/>
    <mergeCell ref="B21:B22"/>
    <mergeCell ref="A54:C54"/>
    <mergeCell ref="F11:G11"/>
    <mergeCell ref="I71:K71"/>
    <mergeCell ref="A74:C74"/>
    <mergeCell ref="A56:C56"/>
    <mergeCell ref="I58:K58"/>
    <mergeCell ref="E37:K37"/>
    <mergeCell ref="G51:H52"/>
    <mergeCell ref="A53:C53"/>
    <mergeCell ref="E23:K23"/>
    <mergeCell ref="A50:K50"/>
    <mergeCell ref="A68:C68"/>
    <mergeCell ref="D47:K47"/>
    <mergeCell ref="I60:K60"/>
    <mergeCell ref="I69:K69"/>
    <mergeCell ref="A20:K20"/>
    <mergeCell ref="D51:D52"/>
    <mergeCell ref="E34:K34"/>
    <mergeCell ref="B44:K44"/>
    <mergeCell ref="I61:K61"/>
    <mergeCell ref="A13:B13"/>
    <mergeCell ref="A65:C65"/>
    <mergeCell ref="J17:K17"/>
    <mergeCell ref="E27:K27"/>
  </mergeCells>
  <hyperlinks>
    <hyperlink xmlns:r="http://schemas.openxmlformats.org/officeDocument/2006/relationships" ref="J8" r:id="rId1"/>
  </hyperlinks>
  <printOptions horizontalCentered="1" gridLines="1"/>
  <pageMargins left="0.7" right="0.7" top="0.75" bottom="0.75" header="0" footer="0"/>
  <pageSetup orientation="portrait" paperSize="9" fitToHeight="0" pageOrder="overThenDown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9900"/>
    <outlinePr summaryBelow="0" summaryRight="0"/>
    <pageSetUpPr fitToPage="1"/>
  </sheetPr>
  <dimension ref="A1:K80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9.130000000000001" customWidth="1" style="592" min="1" max="1"/>
    <col width="11.88" customWidth="1" style="592" min="2" max="2"/>
    <col width="34.63" customWidth="1" style="592" min="3" max="3"/>
    <col width="12.25" customWidth="1" style="592" min="4" max="4"/>
    <col width="9.5" customWidth="1" style="592" min="5" max="10"/>
    <col width="19.75" customWidth="1" style="592" min="11" max="11"/>
  </cols>
  <sheetData>
    <row r="1" ht="11.25" customHeight="1" s="592">
      <c r="A1" s="288" t="n"/>
    </row>
    <row r="2" ht="11.25" customHeight="1" s="592"/>
    <row r="3" ht="11.25" customHeight="1" s="592"/>
    <row r="4" ht="11.25" customHeight="1" s="592"/>
    <row r="5" ht="11.25" customHeight="1" s="592"/>
    <row r="6" ht="6.75" customHeight="1" s="592">
      <c r="A6" s="289" t="n"/>
      <c r="B6" s="290" t="n"/>
      <c r="C6" s="290" t="n"/>
      <c r="D6" s="290" t="n"/>
      <c r="E6" s="290" t="n"/>
      <c r="F6" s="290" t="n"/>
      <c r="G6" s="290" t="n"/>
      <c r="H6" s="290" t="n"/>
      <c r="I6" s="290" t="n"/>
      <c r="J6" s="290" t="n"/>
      <c r="K6" s="290" t="n"/>
    </row>
    <row r="7">
      <c r="A7" s="291" t="inlineStr">
        <is>
          <t>แบบรายงานผลการดำเนินโครงการ ณ สิ้นสุดไตรมาส 3
ประจำปีงบประมาณ 2570</t>
        </is>
      </c>
    </row>
    <row r="8">
      <c r="A8" s="292" t="inlineStr">
        <is>
          <t>หน่วยงาน</t>
        </is>
      </c>
      <c r="C8" s="293">
        <f>'โครงการ'!D4                                    </f>
        <v/>
      </c>
      <c r="J8" s="294" t="inlineStr">
        <is>
          <t>คำอธิบายการกรอกแบบฟอร์ม</t>
        </is>
      </c>
    </row>
    <row r="9">
      <c r="A9" s="295">
        <f>'โครงการ'!D6                                    </f>
        <v/>
      </c>
      <c r="C9" s="296">
        <f>'โครงการ'!D7                                    </f>
        <v/>
      </c>
      <c r="K9" s="297" t="n"/>
    </row>
    <row r="10" ht="6" customHeight="1" s="592">
      <c r="A10" s="298" t="n"/>
      <c r="C10" s="321" t="n"/>
      <c r="D10" s="321" t="n"/>
      <c r="E10" s="321" t="n"/>
      <c r="F10" s="300" t="n"/>
      <c r="G10" s="301" t="n"/>
      <c r="H10" s="301" t="n"/>
      <c r="I10" s="301" t="n"/>
      <c r="J10" s="302" t="n"/>
      <c r="K10" s="302" t="n"/>
    </row>
    <row r="11">
      <c r="A11" s="298" t="inlineStr">
        <is>
          <t>หัวหน้าโครงการ</t>
        </is>
      </c>
      <c r="C11" s="630">
        <f>'รายงานQ2'!C11                                    </f>
        <v/>
      </c>
      <c r="D11" s="595" t="n"/>
      <c r="E11" s="596" t="n"/>
      <c r="F11" s="306" t="inlineStr">
        <is>
          <t>E-mail : @mfu</t>
        </is>
      </c>
      <c r="H11" s="631">
        <f>'รายงานQ2'!H11                                    </f>
        <v/>
      </c>
      <c r="I11" s="632" t="n"/>
      <c r="J11" s="633" t="n"/>
      <c r="K11" s="297" t="n"/>
    </row>
    <row r="12" ht="6" customHeight="1" s="592">
      <c r="A12" s="298" t="n"/>
      <c r="C12" s="321" t="n"/>
      <c r="D12" s="321" t="n"/>
      <c r="E12" s="321" t="n"/>
      <c r="F12" s="300" t="n"/>
      <c r="G12" s="301" t="n"/>
      <c r="H12" s="301" t="n"/>
      <c r="I12" s="301" t="n"/>
      <c r="J12" s="302" t="n"/>
      <c r="K12" s="302" t="n"/>
    </row>
    <row r="13">
      <c r="A13" s="298" t="inlineStr">
        <is>
          <t>ชื่อผู้รายงานผล</t>
        </is>
      </c>
      <c r="C13" s="630" t="n"/>
      <c r="D13" s="595" t="n"/>
      <c r="E13" s="596" t="n"/>
      <c r="F13" s="310" t="inlineStr">
        <is>
          <t xml:space="preserve"> ผู้รายงานผลกรอกข้อมูลแล้วเสร็จ</t>
        </is>
      </c>
      <c r="G13" s="311" t="n"/>
      <c r="H13" s="316" t="n"/>
      <c r="I13" s="316" t="n"/>
      <c r="J13" s="313" t="b">
        <v>0</v>
      </c>
      <c r="K13" s="314" t="n"/>
    </row>
    <row r="14" ht="6" customHeight="1" s="592">
      <c r="A14" s="298" t="n"/>
      <c r="C14" s="321" t="n"/>
      <c r="D14" s="321" t="n"/>
      <c r="E14" s="321" t="n"/>
      <c r="F14" s="300" t="n"/>
      <c r="G14" s="301" t="n"/>
      <c r="H14" s="301" t="n"/>
      <c r="I14" s="301" t="n"/>
      <c r="J14" s="302" t="n"/>
      <c r="K14" s="302" t="n"/>
    </row>
    <row r="15">
      <c r="A15" s="315" t="inlineStr">
        <is>
          <t>ณ สิ้นสุดไตรมาส ประเมินการดำเนินงานภาพรวมคิดเป็น</t>
        </is>
      </c>
      <c r="B15" s="300" t="n"/>
      <c r="C15" s="321" t="n"/>
      <c r="D15" s="316" t="inlineStr">
        <is>
          <t>ร้อยละ</t>
        </is>
      </c>
      <c r="E15" s="317" t="n">
        <v>0</v>
      </c>
      <c r="F15" s="300" t="n"/>
      <c r="G15" s="634">
        <f>IFERROR(__xludf.DUMMYFUNCTION("IFERROR(SPARKLINE(E15,{""charttype"",""bar"";""color1"",""orenge"";""max"",100}),""โปรดระบุร้อยละการดำเนินงานเป็นตัวเลช"")"),"")</f>
        <v/>
      </c>
      <c r="H15" s="595" t="n"/>
      <c r="I15" s="595" t="n"/>
      <c r="J15" s="596" t="n"/>
      <c r="K15" s="319" t="n"/>
    </row>
    <row r="16" ht="6" customHeight="1" s="592">
      <c r="A16" s="315" t="n"/>
      <c r="B16" s="321" t="n"/>
      <c r="C16" s="321" t="n"/>
      <c r="D16" s="321" t="n"/>
      <c r="E16" s="321" t="n"/>
      <c r="F16" s="321" t="n"/>
      <c r="G16" s="316" t="n"/>
      <c r="H16" s="316" t="n"/>
      <c r="I16" s="316" t="n"/>
      <c r="J16" s="321" t="n"/>
      <c r="K16" s="321" t="n"/>
    </row>
    <row r="17">
      <c r="A17" s="315" t="inlineStr">
        <is>
          <t>หัวหน้าโครงการส่งรายงานผลการดำเนินงาน ณ สิ้นสุดไตรมาส 3</t>
        </is>
      </c>
      <c r="B17" s="321" t="n"/>
      <c r="C17" s="321" t="n"/>
      <c r="D17" s="321" t="n"/>
      <c r="E17" s="313" t="b">
        <v>0</v>
      </c>
      <c r="F17" s="321" t="n"/>
      <c r="G17" s="316" t="inlineStr">
        <is>
          <t>ว/ด/ป ที่ส่งรายงาน</t>
        </is>
      </c>
      <c r="J17" s="322" t="n"/>
    </row>
    <row r="18">
      <c r="A18" s="298" t="n"/>
      <c r="B18" s="321" t="n"/>
      <c r="C18" s="321" t="n"/>
      <c r="D18" s="321" t="n"/>
      <c r="E18" s="321" t="n"/>
      <c r="F18" s="300" t="n"/>
      <c r="G18" s="321" t="n"/>
      <c r="H18" s="321" t="n"/>
      <c r="I18" s="300" t="n"/>
      <c r="J18" s="321" t="n"/>
      <c r="K18" s="321" t="n"/>
    </row>
    <row r="19" ht="6.75" customHeight="1" s="592">
      <c r="A19" s="323" t="n"/>
      <c r="B19" s="324" t="n"/>
      <c r="C19" s="324" t="n"/>
      <c r="D19" s="324" t="n"/>
      <c r="E19" s="324" t="n"/>
      <c r="F19" s="324" t="n"/>
      <c r="G19" s="324" t="n"/>
      <c r="H19" s="324" t="n"/>
      <c r="I19" s="324" t="n"/>
      <c r="J19" s="324" t="n"/>
      <c r="K19" s="325" t="n"/>
    </row>
    <row r="20">
      <c r="A20" s="326" t="inlineStr">
        <is>
          <t>ผลการดำเนินงานรายกิจกรรม</t>
        </is>
      </c>
    </row>
    <row r="21">
      <c r="A21" s="635" t="inlineStr">
        <is>
          <t>ลำดับที่</t>
        </is>
      </c>
      <c r="B21" s="636" t="inlineStr">
        <is>
          <t>รหัสรายการ
งบประมาณ</t>
        </is>
      </c>
      <c r="C21" s="637" t="inlineStr">
        <is>
          <t>ชื่อรายการงบประมาณ/ชื่อกิจกรรม</t>
        </is>
      </c>
      <c r="D21" s="638" t="inlineStr">
        <is>
          <t>สถานะ
การดำเนินงาน</t>
        </is>
      </c>
      <c r="E21" s="639" t="inlineStr">
        <is>
          <t>อธิบายผลการดำเนินงานตามสถานะ
(ให้ระบุว่า ณ สิ้นสุดไตรมาสมีการดำเนินงานอย่างไร)</t>
        </is>
      </c>
      <c r="F21" s="640" t="n"/>
      <c r="G21" s="640" t="n"/>
      <c r="H21" s="640" t="n"/>
      <c r="I21" s="640" t="n"/>
      <c r="J21" s="640" t="n"/>
      <c r="K21" s="641" t="n"/>
    </row>
    <row r="22">
      <c r="A22" s="642" t="n"/>
      <c r="B22" s="629" t="n"/>
      <c r="C22" s="629" t="n"/>
      <c r="D22" s="629" t="n"/>
      <c r="E22" s="642" t="n"/>
      <c r="F22" s="601" t="n"/>
      <c r="G22" s="601" t="n"/>
      <c r="H22" s="601" t="n"/>
      <c r="I22" s="601" t="n"/>
      <c r="J22" s="601" t="n"/>
      <c r="K22" s="602" t="n"/>
    </row>
    <row r="23">
      <c r="A23" s="338" t="n">
        <v>1</v>
      </c>
      <c r="B23" s="338">
        <f>IFERROR(__xludf.DUMMYFUNCTION("QUERY('รายการงบประมาณ'!$A$2:$F80,""SELECT A,B WHERE E&gt;0"")"),"#N/A")</f>
        <v/>
      </c>
      <c r="C23" s="339" t="n"/>
      <c r="D23" s="340" t="n"/>
      <c r="E23" s="643" t="n"/>
      <c r="F23" s="595" t="n"/>
      <c r="G23" s="595" t="n"/>
      <c r="H23" s="595" t="n"/>
      <c r="I23" s="595" t="n"/>
      <c r="J23" s="595" t="n"/>
      <c r="K23" s="596" t="n"/>
    </row>
    <row r="24">
      <c r="A24" s="338" t="n">
        <v>2</v>
      </c>
      <c r="B24" s="338" t="n"/>
      <c r="C24" s="339" t="n"/>
      <c r="D24" s="340" t="n"/>
      <c r="E24" s="643" t="n"/>
      <c r="F24" s="595" t="n"/>
      <c r="G24" s="595" t="n"/>
      <c r="H24" s="595" t="n"/>
      <c r="I24" s="595" t="n"/>
      <c r="J24" s="595" t="n"/>
      <c r="K24" s="596" t="n"/>
    </row>
    <row r="25">
      <c r="A25" s="338" t="n">
        <v>3</v>
      </c>
      <c r="B25" s="338" t="n"/>
      <c r="C25" s="339" t="n"/>
      <c r="D25" s="340" t="n"/>
      <c r="E25" s="643" t="n"/>
      <c r="F25" s="595" t="n"/>
      <c r="G25" s="595" t="n"/>
      <c r="H25" s="595" t="n"/>
      <c r="I25" s="595" t="n"/>
      <c r="J25" s="595" t="n"/>
      <c r="K25" s="596" t="n"/>
    </row>
    <row r="26">
      <c r="A26" s="338" t="n">
        <v>4</v>
      </c>
      <c r="B26" s="338" t="n"/>
      <c r="C26" s="339" t="n"/>
      <c r="D26" s="340" t="n"/>
      <c r="E26" s="643" t="n"/>
      <c r="F26" s="595" t="n"/>
      <c r="G26" s="595" t="n"/>
      <c r="H26" s="595" t="n"/>
      <c r="I26" s="595" t="n"/>
      <c r="J26" s="595" t="n"/>
      <c r="K26" s="596" t="n"/>
    </row>
    <row r="27" collapsed="1" s="592">
      <c r="A27" s="338" t="n">
        <v>5</v>
      </c>
      <c r="B27" s="338" t="n"/>
      <c r="C27" s="339" t="n"/>
      <c r="D27" s="340" t="n"/>
      <c r="E27" s="643" t="n"/>
      <c r="F27" s="595" t="n"/>
      <c r="G27" s="595" t="n"/>
      <c r="H27" s="595" t="n"/>
      <c r="I27" s="595" t="n"/>
      <c r="J27" s="595" t="n"/>
      <c r="K27" s="596" t="n"/>
    </row>
    <row r="28" hidden="1" outlineLevel="1" s="592">
      <c r="A28" s="338" t="n">
        <v>6</v>
      </c>
      <c r="B28" s="338" t="n"/>
      <c r="C28" s="339" t="n"/>
      <c r="D28" s="340" t="n"/>
      <c r="E28" s="643" t="n"/>
      <c r="F28" s="595" t="n"/>
      <c r="G28" s="595" t="n"/>
      <c r="H28" s="595" t="n"/>
      <c r="I28" s="595" t="n"/>
      <c r="J28" s="595" t="n"/>
      <c r="K28" s="596" t="n"/>
    </row>
    <row r="29" hidden="1" outlineLevel="1" s="592">
      <c r="A29" s="338" t="n">
        <v>7</v>
      </c>
      <c r="B29" s="338" t="n"/>
      <c r="C29" s="339" t="n"/>
      <c r="D29" s="340" t="n"/>
      <c r="E29" s="643" t="n"/>
      <c r="F29" s="595" t="n"/>
      <c r="G29" s="595" t="n"/>
      <c r="H29" s="595" t="n"/>
      <c r="I29" s="595" t="n"/>
      <c r="J29" s="595" t="n"/>
      <c r="K29" s="596" t="n"/>
    </row>
    <row r="30" hidden="1" outlineLevel="1" s="592">
      <c r="A30" s="338" t="n">
        <v>8</v>
      </c>
      <c r="B30" s="338" t="n"/>
      <c r="C30" s="339" t="n"/>
      <c r="D30" s="340" t="n"/>
      <c r="E30" s="643" t="n"/>
      <c r="F30" s="595" t="n"/>
      <c r="G30" s="595" t="n"/>
      <c r="H30" s="595" t="n"/>
      <c r="I30" s="595" t="n"/>
      <c r="J30" s="595" t="n"/>
      <c r="K30" s="596" t="n"/>
    </row>
    <row r="31" hidden="1" outlineLevel="1" s="592">
      <c r="A31" s="338" t="n">
        <v>9</v>
      </c>
      <c r="B31" s="338" t="n"/>
      <c r="C31" s="339" t="n"/>
      <c r="D31" s="340" t="n"/>
      <c r="E31" s="643" t="n"/>
      <c r="F31" s="595" t="n"/>
      <c r="G31" s="595" t="n"/>
      <c r="H31" s="595" t="n"/>
      <c r="I31" s="595" t="n"/>
      <c r="J31" s="595" t="n"/>
      <c r="K31" s="596" t="n"/>
    </row>
    <row r="32" hidden="1" outlineLevel="1" s="592">
      <c r="A32" s="338" t="n">
        <v>10</v>
      </c>
      <c r="B32" s="338" t="n"/>
      <c r="C32" s="339" t="n"/>
      <c r="D32" s="340" t="n"/>
      <c r="E32" s="643" t="n"/>
      <c r="F32" s="595" t="n"/>
      <c r="G32" s="595" t="n"/>
      <c r="H32" s="595" t="n"/>
      <c r="I32" s="595" t="n"/>
      <c r="J32" s="595" t="n"/>
      <c r="K32" s="596" t="n"/>
    </row>
    <row r="33" hidden="1" outlineLevel="1" s="592">
      <c r="A33" s="338" t="n">
        <v>11</v>
      </c>
      <c r="B33" s="338" t="n"/>
      <c r="C33" s="339" t="n"/>
      <c r="D33" s="340" t="n"/>
      <c r="E33" s="643" t="n"/>
      <c r="F33" s="595" t="n"/>
      <c r="G33" s="595" t="n"/>
      <c r="H33" s="595" t="n"/>
      <c r="I33" s="595" t="n"/>
      <c r="J33" s="595" t="n"/>
      <c r="K33" s="596" t="n"/>
    </row>
    <row r="34" hidden="1" outlineLevel="1" s="592">
      <c r="A34" s="338" t="n">
        <v>12</v>
      </c>
      <c r="B34" s="338" t="n"/>
      <c r="C34" s="339" t="n"/>
      <c r="D34" s="340" t="n"/>
      <c r="E34" s="643" t="n"/>
      <c r="F34" s="595" t="n"/>
      <c r="G34" s="595" t="n"/>
      <c r="H34" s="595" t="n"/>
      <c r="I34" s="595" t="n"/>
      <c r="J34" s="595" t="n"/>
      <c r="K34" s="596" t="n"/>
    </row>
    <row r="35" hidden="1" outlineLevel="1" s="592">
      <c r="A35" s="338" t="n">
        <v>13</v>
      </c>
      <c r="B35" s="338" t="n"/>
      <c r="C35" s="339" t="n"/>
      <c r="D35" s="340" t="n"/>
      <c r="E35" s="643" t="n"/>
      <c r="F35" s="595" t="n"/>
      <c r="G35" s="595" t="n"/>
      <c r="H35" s="595" t="n"/>
      <c r="I35" s="595" t="n"/>
      <c r="J35" s="595" t="n"/>
      <c r="K35" s="596" t="n"/>
    </row>
    <row r="36" hidden="1" outlineLevel="1" s="592">
      <c r="A36" s="338" t="n">
        <v>14</v>
      </c>
      <c r="B36" s="338" t="n"/>
      <c r="C36" s="339" t="n"/>
      <c r="D36" s="340" t="n"/>
      <c r="E36" s="643" t="n"/>
      <c r="F36" s="595" t="n"/>
      <c r="G36" s="595" t="n"/>
      <c r="H36" s="595" t="n"/>
      <c r="I36" s="595" t="n"/>
      <c r="J36" s="595" t="n"/>
      <c r="K36" s="596" t="n"/>
    </row>
    <row r="37" hidden="1" outlineLevel="1" s="592">
      <c r="A37" s="338" t="n">
        <v>15</v>
      </c>
      <c r="B37" s="338" t="n"/>
      <c r="C37" s="339" t="n"/>
      <c r="D37" s="340" t="n"/>
      <c r="E37" s="643" t="n"/>
      <c r="F37" s="595" t="n"/>
      <c r="G37" s="595" t="n"/>
      <c r="H37" s="595" t="n"/>
      <c r="I37" s="595" t="n"/>
      <c r="J37" s="595" t="n"/>
      <c r="K37" s="596" t="n"/>
    </row>
    <row r="38" hidden="1" outlineLevel="1" s="592">
      <c r="A38" s="338" t="n">
        <v>16</v>
      </c>
      <c r="B38" s="338" t="n"/>
      <c r="C38" s="339" t="n"/>
      <c r="D38" s="340" t="n"/>
      <c r="E38" s="643" t="n"/>
      <c r="F38" s="595" t="n"/>
      <c r="G38" s="595" t="n"/>
      <c r="H38" s="595" t="n"/>
      <c r="I38" s="595" t="n"/>
      <c r="J38" s="595" t="n"/>
      <c r="K38" s="596" t="n"/>
    </row>
    <row r="39" hidden="1" outlineLevel="1" s="592">
      <c r="A39" s="338" t="n">
        <v>17</v>
      </c>
      <c r="B39" s="338" t="n"/>
      <c r="C39" s="339" t="n"/>
      <c r="D39" s="340" t="n"/>
      <c r="E39" s="643" t="n"/>
      <c r="F39" s="595" t="n"/>
      <c r="G39" s="595" t="n"/>
      <c r="H39" s="595" t="n"/>
      <c r="I39" s="595" t="n"/>
      <c r="J39" s="595" t="n"/>
      <c r="K39" s="596" t="n"/>
    </row>
    <row r="40" hidden="1" outlineLevel="1" s="592">
      <c r="A40" s="338" t="n">
        <v>18</v>
      </c>
      <c r="B40" s="338" t="n"/>
      <c r="C40" s="339" t="n"/>
      <c r="D40" s="340" t="n"/>
      <c r="E40" s="643" t="n"/>
      <c r="F40" s="595" t="n"/>
      <c r="G40" s="595" t="n"/>
      <c r="H40" s="595" t="n"/>
      <c r="I40" s="595" t="n"/>
      <c r="J40" s="595" t="n"/>
      <c r="K40" s="596" t="n"/>
    </row>
    <row r="41" hidden="1" outlineLevel="1" s="592">
      <c r="A41" s="338" t="n">
        <v>19</v>
      </c>
      <c r="B41" s="338" t="n"/>
      <c r="C41" s="339" t="n"/>
      <c r="D41" s="340" t="n"/>
      <c r="E41" s="643" t="n"/>
      <c r="F41" s="595" t="n"/>
      <c r="G41" s="595" t="n"/>
      <c r="H41" s="595" t="n"/>
      <c r="I41" s="595" t="n"/>
      <c r="J41" s="595" t="n"/>
      <c r="K41" s="596" t="n"/>
    </row>
    <row r="42" hidden="1" outlineLevel="1" s="592">
      <c r="A42" s="338" t="n">
        <v>20</v>
      </c>
      <c r="B42" s="338" t="n"/>
      <c r="C42" s="339" t="n"/>
      <c r="D42" s="340" t="n"/>
      <c r="E42" s="643" t="n"/>
      <c r="F42" s="595" t="n"/>
      <c r="G42" s="595" t="n"/>
      <c r="H42" s="595" t="n"/>
      <c r="I42" s="595" t="n"/>
      <c r="J42" s="595" t="n"/>
      <c r="K42" s="596" t="n"/>
    </row>
    <row r="43">
      <c r="A43" s="345" t="inlineStr">
        <is>
          <t>คำอธิบาย สถานะการดำเนินงาน</t>
        </is>
      </c>
      <c r="B43" s="343" t="n"/>
      <c r="C43" s="548" t="n"/>
      <c r="D43" s="548" t="n"/>
      <c r="E43" s="548" t="n"/>
      <c r="F43" s="548" t="n"/>
      <c r="G43" s="548" t="n"/>
      <c r="H43" s="548" t="n"/>
      <c r="I43" s="548" t="n"/>
      <c r="J43" s="548" t="n"/>
      <c r="K43" s="548" t="n"/>
    </row>
    <row r="44">
      <c r="A44" s="345" t="inlineStr">
        <is>
          <t>หมายเหตุ</t>
        </is>
      </c>
      <c r="B44" s="343" t="inlineStr">
        <is>
          <t>โปรดระบุตัวเลขสถานะการดำเนินงาน ในช่อง "สถานะการดำเนินงาน"</t>
        </is>
      </c>
    </row>
    <row r="45">
      <c r="A45" s="346" t="n"/>
      <c r="B45" s="347" t="n">
        <v>1</v>
      </c>
      <c r="C45" s="348" t="inlineStr">
        <is>
          <t>ไม่ได้ดำเนินงาน</t>
        </is>
      </c>
      <c r="D45" s="349" t="inlineStr">
        <is>
          <t>หมายถึง ถึงแผนที่จะต้องดำเนินงานแล้ว แต่ "ไม่ได้ดำเนินการ" เนื่องจากมีเหตุจำเป็น...</t>
        </is>
      </c>
    </row>
    <row r="46">
      <c r="A46" s="346" t="n"/>
      <c r="B46" s="350" t="n">
        <v>2</v>
      </c>
      <c r="C46" s="348" t="inlineStr">
        <is>
          <t>ไม่ถึงแผนที่กำหนด</t>
        </is>
      </c>
      <c r="D46" s="349" t="inlineStr">
        <is>
          <t>หมายถึง มีแผนการดำเนินงานในไตรมาสอื่น</t>
        </is>
      </c>
    </row>
    <row r="47">
      <c r="A47" s="346" t="n"/>
      <c r="B47" s="350" t="n">
        <v>3</v>
      </c>
      <c r="C47" s="348" t="inlineStr">
        <is>
          <t>อยู่ระหว่างการดำเนินงาน</t>
        </is>
      </c>
      <c r="D47" s="348" t="inlineStr">
        <is>
          <t>หมายถึง ดำเนินงานแล้ว แต่ยังไม่เเล้วเสร็จ หรือมีแผนดำเนินงานครั้งที่ 2/3/4</t>
        </is>
      </c>
    </row>
    <row r="48">
      <c r="A48" s="346" t="n"/>
      <c r="B48" s="351" t="n">
        <v>4</v>
      </c>
      <c r="C48" s="348" t="inlineStr">
        <is>
          <t>ดำเนินการแล้ว</t>
        </is>
      </c>
      <c r="D48" s="348" t="inlineStr">
        <is>
          <t>หมายถึง ดำเนินงานแล้วเสร็จ</t>
        </is>
      </c>
    </row>
    <row r="49" hidden="1" ht="6.75" customHeight="1" s="592">
      <c r="A49" s="352" t="n"/>
      <c r="B49" s="353" t="n"/>
      <c r="C49" s="353" t="n"/>
      <c r="D49" s="353" t="n"/>
      <c r="E49" s="353" t="n"/>
      <c r="F49" s="353" t="n"/>
      <c r="G49" s="353" t="n"/>
      <c r="H49" s="353" t="n"/>
      <c r="I49" s="353" t="n"/>
      <c r="J49" s="353" t="n"/>
      <c r="K49" s="353" t="n"/>
    </row>
    <row r="50" hidden="1" s="592">
      <c r="A50" s="644" t="inlineStr">
        <is>
          <t>ผลการดำเนินงาน</t>
        </is>
      </c>
      <c r="B50" s="595" t="n"/>
      <c r="C50" s="595" t="n"/>
      <c r="D50" s="595" t="n"/>
      <c r="E50" s="595" t="n"/>
      <c r="F50" s="595" t="n"/>
      <c r="G50" s="595" t="n"/>
      <c r="H50" s="595" t="n"/>
      <c r="I50" s="595" t="n"/>
      <c r="J50" s="595" t="n"/>
      <c r="K50" s="596" t="n"/>
    </row>
    <row r="51" hidden="1" s="592">
      <c r="A51" s="645" t="inlineStr">
        <is>
          <t>ตัวชี้วัดความสำเร็จของโครงการ</t>
        </is>
      </c>
      <c r="B51" s="640" t="n"/>
      <c r="C51" s="641" t="n"/>
      <c r="D51" s="645" t="inlineStr">
        <is>
          <t>หน่วยนับ</t>
        </is>
      </c>
      <c r="E51" s="645" t="inlineStr">
        <is>
          <t>แผน
ปี 2570</t>
        </is>
      </c>
      <c r="F51" s="645" t="inlineStr">
        <is>
          <t>ผล
ปี 2570</t>
        </is>
      </c>
      <c r="G51" s="645" t="inlineStr">
        <is>
          <t>การรายงานผล</t>
        </is>
      </c>
      <c r="H51" s="641" t="n"/>
      <c r="I51" s="646" t="inlineStr">
        <is>
          <t>อธิบายผลการดำเนินงาน
(รายงานผลเทียบแผน อย่างไร)</t>
        </is>
      </c>
      <c r="J51" s="640" t="n"/>
      <c r="K51" s="641" t="n"/>
    </row>
    <row r="52" hidden="1" s="592">
      <c r="A52" s="642" t="n"/>
      <c r="B52" s="601" t="n"/>
      <c r="C52" s="602" t="n"/>
      <c r="D52" s="629" t="n"/>
      <c r="E52" s="629" t="n"/>
      <c r="F52" s="629" t="n"/>
      <c r="G52" s="642" t="n"/>
      <c r="H52" s="602" t="n"/>
      <c r="I52" s="642" t="n"/>
      <c r="J52" s="601" t="n"/>
      <c r="K52" s="602" t="n"/>
    </row>
    <row r="53" hidden="1" s="592">
      <c r="A53" s="647" t="inlineStr">
        <is>
          <t xml:space="preserve">เชิงปริมาณ </t>
        </is>
      </c>
      <c r="B53" s="595" t="n"/>
      <c r="C53" s="596" t="n"/>
      <c r="D53" s="367" t="n"/>
      <c r="E53" s="367" t="n"/>
      <c r="F53" s="368" t="inlineStr">
        <is>
          <t>ไตรมาส 3</t>
        </is>
      </c>
      <c r="G53" s="369" t="inlineStr">
        <is>
          <t>ระบุได้</t>
        </is>
      </c>
      <c r="H53" s="370" t="inlineStr">
        <is>
          <t>ระบุไม่ได้</t>
        </is>
      </c>
      <c r="I53" s="368" t="n"/>
      <c r="J53" s="595" t="n"/>
      <c r="K53" s="596" t="n"/>
    </row>
    <row r="54" hidden="1" s="592">
      <c r="A54" s="648">
        <f>IFERROR(__xludf.DUMMYFUNCTION("QUERY('โครงการ'!C65:J74,""SELECT C WHERE C IS NOT NULL"")"),"#N/A")</f>
        <v/>
      </c>
      <c r="B54" s="595" t="n"/>
      <c r="C54" s="596" t="n"/>
      <c r="D54" s="450">
        <f>IFERROR(__xludf.DUMMYFUNCTION("QUERY('โครงการ'!C65:J74,""SELECT I,J WHERE C IS NOT NULL"")"),"#N/A")</f>
        <v/>
      </c>
      <c r="E54" s="450" t="n"/>
      <c r="F54" s="374" t="n"/>
      <c r="G54" s="375" t="b">
        <v>0</v>
      </c>
      <c r="H54" s="376" t="b">
        <v>0</v>
      </c>
      <c r="I54" s="649" t="n"/>
      <c r="J54" s="595" t="n"/>
      <c r="K54" s="596" t="n"/>
    </row>
    <row r="55" hidden="1" s="592">
      <c r="A55" s="648" t="n"/>
      <c r="B55" s="595" t="n"/>
      <c r="C55" s="596" t="n"/>
      <c r="D55" s="450" t="n"/>
      <c r="E55" s="450" t="n"/>
      <c r="F55" s="374" t="n"/>
      <c r="G55" s="375" t="b">
        <v>0</v>
      </c>
      <c r="H55" s="376" t="b">
        <v>0</v>
      </c>
      <c r="I55" s="649" t="n"/>
      <c r="J55" s="595" t="n"/>
      <c r="K55" s="596" t="n"/>
    </row>
    <row r="56" hidden="1" s="592">
      <c r="A56" s="648" t="n"/>
      <c r="B56" s="595" t="n"/>
      <c r="C56" s="596" t="n"/>
      <c r="D56" s="450" t="n"/>
      <c r="E56" s="450" t="n"/>
      <c r="F56" s="374" t="n"/>
      <c r="G56" s="375" t="b">
        <v>0</v>
      </c>
      <c r="H56" s="376" t="b">
        <v>0</v>
      </c>
      <c r="I56" s="649" t="n"/>
      <c r="J56" s="595" t="n"/>
      <c r="K56" s="596" t="n"/>
    </row>
    <row r="57" hidden="1" s="592">
      <c r="A57" s="648" t="n"/>
      <c r="B57" s="595" t="n"/>
      <c r="C57" s="596" t="n"/>
      <c r="D57" s="450" t="n"/>
      <c r="E57" s="450" t="n"/>
      <c r="F57" s="374" t="n"/>
      <c r="G57" s="375" t="b">
        <v>0</v>
      </c>
      <c r="H57" s="376" t="b">
        <v>0</v>
      </c>
      <c r="I57" s="649" t="n"/>
      <c r="J57" s="595" t="n"/>
      <c r="K57" s="596" t="n"/>
    </row>
    <row r="58" hidden="1" collapsed="1" s="592">
      <c r="A58" s="648" t="n"/>
      <c r="B58" s="595" t="n"/>
      <c r="C58" s="596" t="n"/>
      <c r="D58" s="450" t="n"/>
      <c r="E58" s="450" t="n"/>
      <c r="F58" s="374" t="n"/>
      <c r="G58" s="375" t="b">
        <v>0</v>
      </c>
      <c r="H58" s="376" t="b">
        <v>0</v>
      </c>
      <c r="I58" s="649" t="n"/>
      <c r="J58" s="595" t="n"/>
      <c r="K58" s="596" t="n"/>
    </row>
    <row r="59" hidden="1" outlineLevel="1" s="592">
      <c r="A59" s="648" t="n"/>
      <c r="B59" s="595" t="n"/>
      <c r="C59" s="596" t="n"/>
      <c r="D59" s="450" t="n"/>
      <c r="E59" s="450" t="n"/>
      <c r="F59" s="374" t="n"/>
      <c r="G59" s="375" t="b">
        <v>0</v>
      </c>
      <c r="H59" s="376" t="b">
        <v>0</v>
      </c>
      <c r="I59" s="649" t="n"/>
      <c r="J59" s="595" t="n"/>
      <c r="K59" s="596" t="n"/>
    </row>
    <row r="60" hidden="1" outlineLevel="1" s="592">
      <c r="A60" s="648" t="n"/>
      <c r="B60" s="595" t="n"/>
      <c r="C60" s="596" t="n"/>
      <c r="D60" s="450" t="n"/>
      <c r="E60" s="450" t="n"/>
      <c r="F60" s="374" t="n"/>
      <c r="G60" s="375" t="b">
        <v>0</v>
      </c>
      <c r="H60" s="376" t="b">
        <v>0</v>
      </c>
      <c r="I60" s="649" t="n"/>
      <c r="J60" s="595" t="n"/>
      <c r="K60" s="596" t="n"/>
    </row>
    <row r="61" hidden="1" outlineLevel="1" s="592">
      <c r="A61" s="648" t="n"/>
      <c r="B61" s="595" t="n"/>
      <c r="C61" s="596" t="n"/>
      <c r="D61" s="450" t="n"/>
      <c r="E61" s="450" t="n"/>
      <c r="F61" s="374" t="n"/>
      <c r="G61" s="375" t="b">
        <v>0</v>
      </c>
      <c r="H61" s="376" t="b">
        <v>0</v>
      </c>
      <c r="I61" s="649" t="n"/>
      <c r="J61" s="595" t="n"/>
      <c r="K61" s="596" t="n"/>
    </row>
    <row r="62" hidden="1" outlineLevel="1" s="592">
      <c r="A62" s="648" t="n"/>
      <c r="B62" s="595" t="n"/>
      <c r="C62" s="596" t="n"/>
      <c r="D62" s="450" t="n"/>
      <c r="E62" s="450" t="n"/>
      <c r="F62" s="374" t="n"/>
      <c r="G62" s="375" t="b">
        <v>0</v>
      </c>
      <c r="H62" s="376" t="b">
        <v>0</v>
      </c>
      <c r="I62" s="649" t="n"/>
      <c r="J62" s="595" t="n"/>
      <c r="K62" s="596" t="n"/>
    </row>
    <row r="63" hidden="1" outlineLevel="1" s="592">
      <c r="A63" s="648" t="n"/>
      <c r="B63" s="595" t="n"/>
      <c r="C63" s="596" t="n"/>
      <c r="D63" s="450" t="n"/>
      <c r="E63" s="450" t="n"/>
      <c r="F63" s="374" t="n"/>
      <c r="G63" s="375" t="b">
        <v>0</v>
      </c>
      <c r="H63" s="376" t="b">
        <v>0</v>
      </c>
      <c r="I63" s="649" t="n"/>
      <c r="J63" s="595" t="n"/>
      <c r="K63" s="596" t="n"/>
    </row>
    <row r="64" hidden="1" s="592">
      <c r="A64" s="647" t="inlineStr">
        <is>
          <t xml:space="preserve">เชิงคุณภาพ </t>
        </is>
      </c>
      <c r="B64" s="595" t="n"/>
      <c r="C64" s="596" t="n"/>
      <c r="D64" s="368" t="n"/>
      <c r="E64" s="368" t="n"/>
      <c r="F64" s="368" t="n"/>
      <c r="G64" s="367" t="n"/>
      <c r="H64" s="367" t="n"/>
      <c r="I64" s="368" t="n"/>
      <c r="J64" s="595" t="n"/>
      <c r="K64" s="596" t="n"/>
    </row>
    <row r="65" hidden="1" s="592">
      <c r="A65" s="648">
        <f>IFERROR(__xludf.DUMMYFUNCTION("QUERY('โครงการ'!C76:J85,""SELECT C WHERE C IS NOT NULL"")"),"#N/A")</f>
        <v/>
      </c>
      <c r="B65" s="595" t="n"/>
      <c r="C65" s="596" t="n"/>
      <c r="D65" s="450">
        <f>IFERROR(__xludf.DUMMYFUNCTION("QUERY('โครงการ'!C76:J85,""SELECT I,J WHERE C IS NOT NULL"")"),"#N/A")</f>
        <v/>
      </c>
      <c r="E65" s="450" t="n"/>
      <c r="F65" s="374" t="n"/>
      <c r="G65" s="375" t="b">
        <v>0</v>
      </c>
      <c r="H65" s="376" t="b">
        <v>0</v>
      </c>
      <c r="I65" s="649" t="n"/>
      <c r="J65" s="595" t="n"/>
      <c r="K65" s="596" t="n"/>
    </row>
    <row r="66" hidden="1" s="592">
      <c r="A66" s="648" t="n"/>
      <c r="B66" s="595" t="n"/>
      <c r="C66" s="596" t="n"/>
      <c r="D66" s="450" t="n"/>
      <c r="E66" s="450" t="n"/>
      <c r="F66" s="374" t="n"/>
      <c r="G66" s="375" t="b">
        <v>0</v>
      </c>
      <c r="H66" s="376" t="b">
        <v>0</v>
      </c>
      <c r="I66" s="649" t="n"/>
      <c r="J66" s="595" t="n"/>
      <c r="K66" s="596" t="n"/>
    </row>
    <row r="67" hidden="1" s="592">
      <c r="A67" s="648" t="n"/>
      <c r="B67" s="595" t="n"/>
      <c r="C67" s="596" t="n"/>
      <c r="D67" s="450" t="n"/>
      <c r="E67" s="450" t="n"/>
      <c r="F67" s="374" t="n"/>
      <c r="G67" s="375" t="b">
        <v>0</v>
      </c>
      <c r="H67" s="376" t="b">
        <v>0</v>
      </c>
      <c r="I67" s="649" t="n"/>
      <c r="J67" s="595" t="n"/>
      <c r="K67" s="596" t="n"/>
    </row>
    <row r="68" hidden="1" s="592">
      <c r="A68" s="648" t="n"/>
      <c r="B68" s="595" t="n"/>
      <c r="C68" s="596" t="n"/>
      <c r="D68" s="450" t="n"/>
      <c r="E68" s="450" t="n"/>
      <c r="F68" s="374" t="n"/>
      <c r="G68" s="375" t="b">
        <v>0</v>
      </c>
      <c r="H68" s="376" t="b">
        <v>0</v>
      </c>
      <c r="I68" s="649" t="n"/>
      <c r="J68" s="595" t="n"/>
      <c r="K68" s="596" t="n"/>
    </row>
    <row r="69" hidden="1" collapsed="1" s="592">
      <c r="A69" s="648" t="n"/>
      <c r="B69" s="595" t="n"/>
      <c r="C69" s="596" t="n"/>
      <c r="D69" s="450" t="n"/>
      <c r="E69" s="450" t="n"/>
      <c r="F69" s="374" t="n"/>
      <c r="G69" s="375" t="b">
        <v>0</v>
      </c>
      <c r="H69" s="376" t="b">
        <v>0</v>
      </c>
      <c r="I69" s="649" t="n"/>
      <c r="J69" s="595" t="n"/>
      <c r="K69" s="596" t="n"/>
    </row>
    <row r="70" hidden="1" outlineLevel="1" s="592">
      <c r="A70" s="648" t="n"/>
      <c r="B70" s="595" t="n"/>
      <c r="C70" s="596" t="n"/>
      <c r="D70" s="450" t="n"/>
      <c r="E70" s="450" t="n"/>
      <c r="F70" s="374" t="n"/>
      <c r="G70" s="375" t="b">
        <v>0</v>
      </c>
      <c r="H70" s="376" t="b">
        <v>0</v>
      </c>
      <c r="I70" s="649" t="n"/>
      <c r="J70" s="595" t="n"/>
      <c r="K70" s="596" t="n"/>
    </row>
    <row r="71" hidden="1" outlineLevel="1" s="592">
      <c r="A71" s="648" t="n"/>
      <c r="B71" s="595" t="n"/>
      <c r="C71" s="596" t="n"/>
      <c r="D71" s="450" t="n"/>
      <c r="E71" s="450" t="n"/>
      <c r="F71" s="374" t="n"/>
      <c r="G71" s="375" t="b">
        <v>0</v>
      </c>
      <c r="H71" s="376" t="b">
        <v>0</v>
      </c>
      <c r="I71" s="649" t="n"/>
      <c r="J71" s="595" t="n"/>
      <c r="K71" s="596" t="n"/>
    </row>
    <row r="72" hidden="1" outlineLevel="1" s="592">
      <c r="A72" s="648" t="n"/>
      <c r="B72" s="595" t="n"/>
      <c r="C72" s="596" t="n"/>
      <c r="D72" s="450" t="n"/>
      <c r="E72" s="450" t="n"/>
      <c r="F72" s="374" t="n"/>
      <c r="G72" s="375" t="b">
        <v>0</v>
      </c>
      <c r="H72" s="376" t="b">
        <v>0</v>
      </c>
      <c r="I72" s="649" t="n"/>
      <c r="J72" s="595" t="n"/>
      <c r="K72" s="596" t="n"/>
    </row>
    <row r="73" hidden="1" outlineLevel="1" s="592">
      <c r="A73" s="648" t="n"/>
      <c r="B73" s="595" t="n"/>
      <c r="C73" s="596" t="n"/>
      <c r="D73" s="450" t="n"/>
      <c r="E73" s="450" t="n"/>
      <c r="F73" s="374" t="n"/>
      <c r="G73" s="375" t="b">
        <v>0</v>
      </c>
      <c r="H73" s="376" t="b">
        <v>0</v>
      </c>
      <c r="I73" s="649" t="n"/>
      <c r="J73" s="595" t="n"/>
      <c r="K73" s="596" t="n"/>
    </row>
    <row r="74" hidden="1" outlineLevel="1" s="592">
      <c r="A74" s="648" t="n"/>
      <c r="B74" s="595" t="n"/>
      <c r="C74" s="596" t="n"/>
      <c r="D74" s="450" t="n"/>
      <c r="E74" s="450" t="n"/>
      <c r="F74" s="374" t="n"/>
      <c r="G74" s="375" t="b">
        <v>0</v>
      </c>
      <c r="H74" s="376" t="b">
        <v>0</v>
      </c>
      <c r="I74" s="649" t="n"/>
      <c r="J74" s="595" t="n"/>
      <c r="K74" s="596" t="n"/>
    </row>
    <row r="75" hidden="1" ht="6.75" customHeight="1" s="592">
      <c r="A75" s="378" t="n"/>
      <c r="B75" s="378" t="n"/>
      <c r="C75" s="378" t="n"/>
      <c r="D75" s="378" t="n"/>
      <c r="E75" s="378" t="n"/>
      <c r="F75" s="378" t="n"/>
      <c r="G75" s="378" t="n"/>
      <c r="H75" s="378" t="n"/>
      <c r="I75" s="378" t="n"/>
      <c r="J75" s="378" t="n"/>
      <c r="K75" s="378" t="n"/>
    </row>
    <row r="76" hidden="1" s="592">
      <c r="A76" s="379" t="n"/>
      <c r="B76" s="379" t="n"/>
      <c r="C76" s="379" t="n"/>
      <c r="D76" s="379" t="n"/>
      <c r="E76" s="379" t="n"/>
      <c r="F76" s="379" t="n"/>
      <c r="G76" s="379" t="n"/>
      <c r="H76" s="379" t="n"/>
      <c r="I76" s="379" t="n"/>
      <c r="J76" s="379" t="n"/>
      <c r="K76" s="379" t="n"/>
    </row>
    <row r="77">
      <c r="A77" s="548" t="n"/>
      <c r="B77" s="548" t="n"/>
      <c r="C77" s="548" t="n"/>
      <c r="D77" s="548" t="n"/>
      <c r="E77" s="548" t="n"/>
      <c r="F77" s="548" t="n"/>
      <c r="G77" s="548" t="n"/>
      <c r="H77" s="548" t="n"/>
      <c r="I77" s="548" t="n"/>
      <c r="J77" s="548" t="n"/>
      <c r="K77" s="548" t="n"/>
    </row>
    <row r="78">
      <c r="A78" s="548" t="n"/>
      <c r="B78" s="548" t="n"/>
      <c r="C78" s="548" t="n"/>
      <c r="D78" s="548" t="n"/>
      <c r="E78" s="548" t="n"/>
      <c r="F78" s="548" t="n"/>
      <c r="G78" s="548" t="n"/>
      <c r="H78" s="548" t="n"/>
      <c r="I78" s="548" t="n"/>
      <c r="J78" s="548" t="n"/>
      <c r="K78" s="548" t="n"/>
    </row>
    <row r="79">
      <c r="A79" s="548" t="n"/>
      <c r="B79" s="548" t="n"/>
      <c r="C79" s="548" t="n"/>
      <c r="D79" s="548" t="n"/>
      <c r="E79" s="548" t="n"/>
      <c r="F79" s="548" t="n"/>
      <c r="G79" s="548" t="n"/>
      <c r="H79" s="548" t="n"/>
      <c r="I79" s="548" t="n"/>
      <c r="J79" s="548" t="n"/>
      <c r="K79" s="548" t="n"/>
    </row>
    <row r="80">
      <c r="A80" s="548" t="n"/>
      <c r="B80" s="548" t="n"/>
      <c r="C80" s="548" t="n"/>
      <c r="D80" s="548" t="n"/>
      <c r="E80" s="548" t="n"/>
      <c r="F80" s="548" t="n"/>
      <c r="G80" s="548" t="n"/>
      <c r="H80" s="548" t="n"/>
      <c r="I80" s="548" t="n"/>
      <c r="J80" s="548" t="n"/>
      <c r="K80" s="548" t="n"/>
    </row>
  </sheetData>
  <mergeCells count="101">
    <mergeCell ref="I54:K54"/>
    <mergeCell ref="E36:K36"/>
    <mergeCell ref="I72:K72"/>
    <mergeCell ref="D21:D22"/>
    <mergeCell ref="D46:K46"/>
    <mergeCell ref="I56:K56"/>
    <mergeCell ref="A57:C57"/>
    <mergeCell ref="H11:J11"/>
    <mergeCell ref="A71:C71"/>
    <mergeCell ref="A7:K7"/>
    <mergeCell ref="I73:K73"/>
    <mergeCell ref="A51:C52"/>
    <mergeCell ref="I63:K63"/>
    <mergeCell ref="E39:K39"/>
    <mergeCell ref="A63:C63"/>
    <mergeCell ref="I59:K59"/>
    <mergeCell ref="E29:K29"/>
    <mergeCell ref="I65:K65"/>
    <mergeCell ref="E38:K38"/>
    <mergeCell ref="I74:K74"/>
    <mergeCell ref="E31:K31"/>
    <mergeCell ref="E40:K40"/>
    <mergeCell ref="A69:C69"/>
    <mergeCell ref="A9:B9"/>
    <mergeCell ref="I51:K52"/>
    <mergeCell ref="A66:C66"/>
    <mergeCell ref="E26:K26"/>
    <mergeCell ref="C8:I8"/>
    <mergeCell ref="A11:B11"/>
    <mergeCell ref="A55:C55"/>
    <mergeCell ref="E25:K25"/>
    <mergeCell ref="I62:K62"/>
    <mergeCell ref="A1:K5"/>
    <mergeCell ref="I64:K64"/>
    <mergeCell ref="E42:K42"/>
    <mergeCell ref="A21:A22"/>
    <mergeCell ref="C9:J9"/>
    <mergeCell ref="C13:E13"/>
    <mergeCell ref="A58:C58"/>
    <mergeCell ref="A67:C67"/>
    <mergeCell ref="A8:B8"/>
    <mergeCell ref="A73:C73"/>
    <mergeCell ref="A60:C60"/>
    <mergeCell ref="E30:K30"/>
    <mergeCell ref="A10:B10"/>
    <mergeCell ref="E21:K22"/>
    <mergeCell ref="G17:I17"/>
    <mergeCell ref="I66:K66"/>
    <mergeCell ref="E51:E52"/>
    <mergeCell ref="I53:K53"/>
    <mergeCell ref="E32:K32"/>
    <mergeCell ref="E41:K41"/>
    <mergeCell ref="I68:K68"/>
    <mergeCell ref="I55:K55"/>
    <mergeCell ref="C11:E11"/>
    <mergeCell ref="D45:K45"/>
    <mergeCell ref="F51:F52"/>
    <mergeCell ref="I67:K67"/>
    <mergeCell ref="C21:C22"/>
    <mergeCell ref="J8:K8"/>
    <mergeCell ref="A62:C62"/>
    <mergeCell ref="E24:K24"/>
    <mergeCell ref="E33:K33"/>
    <mergeCell ref="A72:C72"/>
    <mergeCell ref="A12:B12"/>
    <mergeCell ref="D48:K48"/>
    <mergeCell ref="E35:K35"/>
    <mergeCell ref="A14:B14"/>
    <mergeCell ref="A59:C59"/>
    <mergeCell ref="A64:C64"/>
    <mergeCell ref="E28:K28"/>
    <mergeCell ref="A61:C61"/>
    <mergeCell ref="I70:K70"/>
    <mergeCell ref="A70:C70"/>
    <mergeCell ref="I57:K57"/>
    <mergeCell ref="G15:J15"/>
    <mergeCell ref="B21:B22"/>
    <mergeCell ref="A54:C54"/>
    <mergeCell ref="F11:G11"/>
    <mergeCell ref="I71:K71"/>
    <mergeCell ref="A74:C74"/>
    <mergeCell ref="A56:C56"/>
    <mergeCell ref="I58:K58"/>
    <mergeCell ref="E37:K37"/>
    <mergeCell ref="G51:H52"/>
    <mergeCell ref="A53:C53"/>
    <mergeCell ref="E23:K23"/>
    <mergeCell ref="A50:K50"/>
    <mergeCell ref="A68:C68"/>
    <mergeCell ref="D47:K47"/>
    <mergeCell ref="I60:K60"/>
    <mergeCell ref="I69:K69"/>
    <mergeCell ref="A20:K20"/>
    <mergeCell ref="D51:D52"/>
    <mergeCell ref="E34:K34"/>
    <mergeCell ref="B44:K44"/>
    <mergeCell ref="I61:K61"/>
    <mergeCell ref="A13:B13"/>
    <mergeCell ref="A65:C65"/>
    <mergeCell ref="J17:K17"/>
    <mergeCell ref="E27:K27"/>
  </mergeCells>
  <hyperlinks>
    <hyperlink xmlns:r="http://schemas.openxmlformats.org/officeDocument/2006/relationships" ref="J8" r:id="rId1"/>
  </hyperlinks>
  <printOptions horizontalCentered="1" gridLines="1"/>
  <pageMargins left="0.7" right="0.7" top="0.75" bottom="0.75" header="0" footer="0"/>
  <pageSetup orientation="portrait" paperSize="9" fitToHeight="0" pageOrder="overThenDown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FF9900"/>
    <outlinePr summaryBelow="0" summaryRight="0"/>
    <pageSetUpPr fitToPage="1"/>
  </sheetPr>
  <dimension ref="A1:K80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9.130000000000001" customWidth="1" style="592" min="1" max="1"/>
    <col width="11.88" customWidth="1" style="592" min="2" max="2"/>
    <col width="34.63" customWidth="1" style="592" min="3" max="3"/>
    <col width="12.25" customWidth="1" style="592" min="4" max="4"/>
    <col width="9.5" customWidth="1" style="592" min="5" max="10"/>
    <col width="19.75" customWidth="1" style="592" min="11" max="11"/>
  </cols>
  <sheetData>
    <row r="1" ht="11.25" customHeight="1" s="592">
      <c r="A1" s="288" t="n"/>
    </row>
    <row r="2" ht="11.25" customHeight="1" s="592"/>
    <row r="3" ht="11.25" customHeight="1" s="592"/>
    <row r="4" ht="11.25" customHeight="1" s="592"/>
    <row r="5" ht="11.25" customHeight="1" s="592"/>
    <row r="6" ht="6.75" customHeight="1" s="592">
      <c r="A6" s="381" t="n"/>
      <c r="B6" s="382" t="n"/>
      <c r="C6" s="382" t="n"/>
      <c r="D6" s="382" t="n"/>
      <c r="E6" s="382" t="n"/>
      <c r="F6" s="382" t="n"/>
      <c r="G6" s="382" t="n"/>
      <c r="H6" s="382" t="n"/>
      <c r="I6" s="382" t="n"/>
      <c r="J6" s="382" t="n"/>
      <c r="K6" s="382" t="n"/>
    </row>
    <row r="7">
      <c r="A7" s="291" t="inlineStr">
        <is>
          <t>แบบรายงานผลการดำเนินโครงการ ณ สิ้นสุดไตรมาส 4
ประจำปีงบประมาณ 2570</t>
        </is>
      </c>
    </row>
    <row r="8">
      <c r="A8" s="292" t="inlineStr">
        <is>
          <t>หน่วยงาน</t>
        </is>
      </c>
      <c r="C8" s="293">
        <f>'โครงการ'!D4                                    </f>
        <v/>
      </c>
      <c r="J8" s="294" t="inlineStr">
        <is>
          <t>คำอธิบายการกรอกแบบฟอร์ม</t>
        </is>
      </c>
    </row>
    <row r="9">
      <c r="A9" s="295">
        <f>'โครงการ'!D6                                    </f>
        <v/>
      </c>
      <c r="C9" s="296">
        <f>'โครงการ'!D7                                    </f>
        <v/>
      </c>
      <c r="K9" s="297" t="n"/>
    </row>
    <row r="10" ht="6" customHeight="1" s="592">
      <c r="A10" s="298" t="n"/>
      <c r="C10" s="321" t="n"/>
      <c r="D10" s="321" t="n"/>
      <c r="E10" s="321" t="n"/>
      <c r="F10" s="300" t="n"/>
      <c r="G10" s="301" t="n"/>
      <c r="H10" s="301" t="n"/>
      <c r="I10" s="301" t="n"/>
      <c r="J10" s="302" t="n"/>
      <c r="K10" s="302" t="n"/>
    </row>
    <row r="11">
      <c r="A11" s="298" t="inlineStr">
        <is>
          <t>หัวหน้าโครงการ</t>
        </is>
      </c>
      <c r="C11" s="630">
        <f>'รายงานQ3'!C11                                    </f>
        <v/>
      </c>
      <c r="D11" s="595" t="n"/>
      <c r="E11" s="596" t="n"/>
      <c r="F11" s="306" t="inlineStr">
        <is>
          <t>E-mail : @mfu</t>
        </is>
      </c>
      <c r="H11" s="631">
        <f>'รายงานQ3'!H11                                    </f>
        <v/>
      </c>
      <c r="I11" s="632" t="n"/>
      <c r="J11" s="633" t="n"/>
      <c r="K11" s="297" t="n"/>
    </row>
    <row r="12" ht="6" customHeight="1" s="592">
      <c r="A12" s="298" t="n"/>
      <c r="C12" s="321" t="n"/>
      <c r="D12" s="321" t="n"/>
      <c r="E12" s="321" t="n"/>
      <c r="F12" s="300" t="n"/>
      <c r="G12" s="301" t="n"/>
      <c r="H12" s="301" t="n"/>
      <c r="I12" s="301" t="n"/>
      <c r="J12" s="302" t="n"/>
      <c r="K12" s="302" t="n"/>
    </row>
    <row r="13">
      <c r="A13" s="298" t="inlineStr">
        <is>
          <t>ชื่อผู้รายงานผล</t>
        </is>
      </c>
      <c r="C13" s="630" t="n"/>
      <c r="D13" s="595" t="n"/>
      <c r="E13" s="596" t="n"/>
      <c r="F13" s="310" t="inlineStr">
        <is>
          <t xml:space="preserve"> ผู้รายงานผลกรอกข้อมูลแล้วเสร็จ</t>
        </is>
      </c>
      <c r="G13" s="311" t="n"/>
      <c r="H13" s="316" t="n"/>
      <c r="I13" s="316" t="n"/>
      <c r="J13" s="313" t="b">
        <v>0</v>
      </c>
      <c r="K13" s="314" t="n"/>
    </row>
    <row r="14" ht="6" customHeight="1" s="592">
      <c r="A14" s="298" t="n"/>
      <c r="C14" s="321" t="n"/>
      <c r="D14" s="321" t="n"/>
      <c r="E14" s="321" t="n"/>
      <c r="F14" s="300" t="n"/>
      <c r="G14" s="301" t="n"/>
      <c r="H14" s="301" t="n"/>
      <c r="I14" s="301" t="n"/>
      <c r="J14" s="302" t="n"/>
      <c r="K14" s="302" t="n"/>
    </row>
    <row r="15">
      <c r="A15" s="315" t="inlineStr">
        <is>
          <t>ณ สิ้นสุดไตรมาส ประเมินการดำเนินงานภาพรวมคิดเป็น</t>
        </is>
      </c>
      <c r="B15" s="300" t="n"/>
      <c r="C15" s="321" t="n"/>
      <c r="D15" s="316" t="inlineStr">
        <is>
          <t>ร้อยละ</t>
        </is>
      </c>
      <c r="E15" s="317" t="n">
        <v>0</v>
      </c>
      <c r="F15" s="300" t="n"/>
      <c r="G15" s="634">
        <f>IFERROR(__xludf.DUMMYFUNCTION("IFERROR(SPARKLINE(E15,{""charttype"",""bar"";""color1"",""orenge"";""max"",100}),""โปรดระบุร้อยละการดำเนินงานเป็นตัวเลช"")"),"")</f>
        <v/>
      </c>
      <c r="H15" s="595" t="n"/>
      <c r="I15" s="595" t="n"/>
      <c r="J15" s="596" t="n"/>
      <c r="K15" s="319" t="n"/>
    </row>
    <row r="16" ht="6" customHeight="1" s="592">
      <c r="A16" s="315" t="n"/>
      <c r="B16" s="321" t="n"/>
      <c r="C16" s="321" t="n"/>
      <c r="D16" s="321" t="n"/>
      <c r="E16" s="321" t="n"/>
      <c r="F16" s="321" t="n"/>
      <c r="G16" s="316" t="n"/>
      <c r="H16" s="316" t="n"/>
      <c r="I16" s="316" t="n"/>
      <c r="J16" s="321" t="n"/>
      <c r="K16" s="321" t="n"/>
    </row>
    <row r="17">
      <c r="A17" s="315" t="inlineStr">
        <is>
          <t>หัวหน้าโครงการส่งรายงานผลการดำเนินงาน ณ สิ้นสุดไตรมาส 4</t>
        </is>
      </c>
      <c r="B17" s="321" t="n"/>
      <c r="C17" s="321" t="n"/>
      <c r="D17" s="321" t="n"/>
      <c r="E17" s="313" t="b">
        <v>0</v>
      </c>
      <c r="F17" s="321" t="n"/>
      <c r="G17" s="316" t="inlineStr">
        <is>
          <t>ว/ด/ป ที่ส่งรายงาน</t>
        </is>
      </c>
      <c r="J17" s="322" t="n"/>
    </row>
    <row r="18">
      <c r="A18" s="298" t="n"/>
      <c r="B18" s="321" t="n"/>
      <c r="C18" s="321" t="n"/>
      <c r="D18" s="321" t="n"/>
      <c r="E18" s="321" t="n"/>
      <c r="F18" s="300" t="n"/>
      <c r="G18" s="321" t="n"/>
      <c r="H18" s="321" t="n"/>
      <c r="I18" s="300" t="n"/>
      <c r="J18" s="321" t="n"/>
      <c r="K18" s="321" t="n"/>
    </row>
    <row r="19" ht="6.75" customHeight="1" s="592">
      <c r="A19" s="387" t="n"/>
      <c r="B19" s="388" t="n"/>
      <c r="C19" s="388" t="n"/>
      <c r="D19" s="388" t="n"/>
      <c r="E19" s="388" t="n"/>
      <c r="F19" s="388" t="n"/>
      <c r="G19" s="388" t="n"/>
      <c r="H19" s="388" t="n"/>
      <c r="I19" s="388" t="n"/>
      <c r="J19" s="388" t="n"/>
      <c r="K19" s="389" t="n"/>
    </row>
    <row r="20">
      <c r="A20" s="326" t="inlineStr">
        <is>
          <t>ผลการดำเนินงานรายกิจกรรม</t>
        </is>
      </c>
    </row>
    <row r="21">
      <c r="A21" s="635" t="inlineStr">
        <is>
          <t>ลำดับที่</t>
        </is>
      </c>
      <c r="B21" s="636" t="inlineStr">
        <is>
          <t>รหัสรายการ
งบประมาณ</t>
        </is>
      </c>
      <c r="C21" s="637" t="inlineStr">
        <is>
          <t>ชื่อรายการงบประมาณ/ชื่อกิจกรรม</t>
        </is>
      </c>
      <c r="D21" s="638" t="inlineStr">
        <is>
          <t>สถานะ
การดำเนินงาน</t>
        </is>
      </c>
      <c r="E21" s="639" t="inlineStr">
        <is>
          <t>อธิบายผลการดำเนินงานตามสถานะ
(ให้ระบุว่า ณ สิ้นสุดไตรมาสมีการดำเนินงานอย่างไร)</t>
        </is>
      </c>
      <c r="F21" s="640" t="n"/>
      <c r="G21" s="640" t="n"/>
      <c r="H21" s="640" t="n"/>
      <c r="I21" s="640" t="n"/>
      <c r="J21" s="640" t="n"/>
      <c r="K21" s="641" t="n"/>
    </row>
    <row r="22">
      <c r="A22" s="642" t="n"/>
      <c r="B22" s="629" t="n"/>
      <c r="C22" s="629" t="n"/>
      <c r="D22" s="629" t="n"/>
      <c r="E22" s="642" t="n"/>
      <c r="F22" s="601" t="n"/>
      <c r="G22" s="601" t="n"/>
      <c r="H22" s="601" t="n"/>
      <c r="I22" s="601" t="n"/>
      <c r="J22" s="601" t="n"/>
      <c r="K22" s="602" t="n"/>
    </row>
    <row r="23">
      <c r="A23" s="338" t="n">
        <v>1</v>
      </c>
      <c r="B23" s="338">
        <f>IFERROR(__xludf.DUMMYFUNCTION("QUERY('รายการงบประมาณ'!$A$2:$F80,""SELECT A,B WHERE E&gt;0"")"),"#N/A")</f>
        <v/>
      </c>
      <c r="C23" s="339" t="n"/>
      <c r="D23" s="340" t="n"/>
      <c r="E23" s="643" t="n"/>
      <c r="F23" s="595" t="n"/>
      <c r="G23" s="595" t="n"/>
      <c r="H23" s="595" t="n"/>
      <c r="I23" s="595" t="n"/>
      <c r="J23" s="595" t="n"/>
      <c r="K23" s="596" t="n"/>
    </row>
    <row r="24">
      <c r="A24" s="338" t="n">
        <v>2</v>
      </c>
      <c r="B24" s="338" t="n"/>
      <c r="C24" s="339" t="n"/>
      <c r="D24" s="340" t="n"/>
      <c r="E24" s="643" t="n"/>
      <c r="F24" s="595" t="n"/>
      <c r="G24" s="595" t="n"/>
      <c r="H24" s="595" t="n"/>
      <c r="I24" s="595" t="n"/>
      <c r="J24" s="595" t="n"/>
      <c r="K24" s="596" t="n"/>
    </row>
    <row r="25">
      <c r="A25" s="338" t="n">
        <v>3</v>
      </c>
      <c r="B25" s="338" t="n"/>
      <c r="C25" s="339" t="n"/>
      <c r="D25" s="340" t="n"/>
      <c r="E25" s="643" t="n"/>
      <c r="F25" s="595" t="n"/>
      <c r="G25" s="595" t="n"/>
      <c r="H25" s="595" t="n"/>
      <c r="I25" s="595" t="n"/>
      <c r="J25" s="595" t="n"/>
      <c r="K25" s="596" t="n"/>
    </row>
    <row r="26">
      <c r="A26" s="338" t="n">
        <v>4</v>
      </c>
      <c r="B26" s="338" t="n"/>
      <c r="C26" s="339" t="n"/>
      <c r="D26" s="340" t="n"/>
      <c r="E26" s="643" t="n"/>
      <c r="F26" s="595" t="n"/>
      <c r="G26" s="595" t="n"/>
      <c r="H26" s="595" t="n"/>
      <c r="I26" s="595" t="n"/>
      <c r="J26" s="595" t="n"/>
      <c r="K26" s="596" t="n"/>
    </row>
    <row r="27" collapsed="1" s="592">
      <c r="A27" s="338" t="n">
        <v>5</v>
      </c>
      <c r="B27" s="338" t="n"/>
      <c r="C27" s="339" t="n"/>
      <c r="D27" s="340" t="n"/>
      <c r="E27" s="643" t="n"/>
      <c r="F27" s="595" t="n"/>
      <c r="G27" s="595" t="n"/>
      <c r="H27" s="595" t="n"/>
      <c r="I27" s="595" t="n"/>
      <c r="J27" s="595" t="n"/>
      <c r="K27" s="596" t="n"/>
    </row>
    <row r="28" hidden="1" outlineLevel="1" s="592">
      <c r="A28" s="338" t="n">
        <v>6</v>
      </c>
      <c r="B28" s="338" t="n"/>
      <c r="C28" s="339" t="n"/>
      <c r="D28" s="340" t="n"/>
      <c r="E28" s="643" t="n"/>
      <c r="F28" s="595" t="n"/>
      <c r="G28" s="595" t="n"/>
      <c r="H28" s="595" t="n"/>
      <c r="I28" s="595" t="n"/>
      <c r="J28" s="595" t="n"/>
      <c r="K28" s="596" t="n"/>
    </row>
    <row r="29" hidden="1" outlineLevel="1" s="592">
      <c r="A29" s="338" t="n">
        <v>7</v>
      </c>
      <c r="B29" s="338" t="n"/>
      <c r="C29" s="339" t="n"/>
      <c r="D29" s="340" t="n"/>
      <c r="E29" s="643" t="n"/>
      <c r="F29" s="595" t="n"/>
      <c r="G29" s="595" t="n"/>
      <c r="H29" s="595" t="n"/>
      <c r="I29" s="595" t="n"/>
      <c r="J29" s="595" t="n"/>
      <c r="K29" s="596" t="n"/>
    </row>
    <row r="30" hidden="1" outlineLevel="1" s="592">
      <c r="A30" s="338" t="n">
        <v>8</v>
      </c>
      <c r="B30" s="338" t="n"/>
      <c r="C30" s="339" t="n"/>
      <c r="D30" s="340" t="n"/>
      <c r="E30" s="643" t="n"/>
      <c r="F30" s="595" t="n"/>
      <c r="G30" s="595" t="n"/>
      <c r="H30" s="595" t="n"/>
      <c r="I30" s="595" t="n"/>
      <c r="J30" s="595" t="n"/>
      <c r="K30" s="596" t="n"/>
    </row>
    <row r="31" hidden="1" outlineLevel="1" s="592">
      <c r="A31" s="338" t="n">
        <v>9</v>
      </c>
      <c r="B31" s="338" t="n"/>
      <c r="C31" s="339" t="n"/>
      <c r="D31" s="340" t="n"/>
      <c r="E31" s="643" t="n"/>
      <c r="F31" s="595" t="n"/>
      <c r="G31" s="595" t="n"/>
      <c r="H31" s="595" t="n"/>
      <c r="I31" s="595" t="n"/>
      <c r="J31" s="595" t="n"/>
      <c r="K31" s="596" t="n"/>
    </row>
    <row r="32" hidden="1" outlineLevel="1" s="592">
      <c r="A32" s="338" t="n">
        <v>10</v>
      </c>
      <c r="B32" s="338" t="n"/>
      <c r="C32" s="339" t="n"/>
      <c r="D32" s="340" t="n"/>
      <c r="E32" s="643" t="n"/>
      <c r="F32" s="595" t="n"/>
      <c r="G32" s="595" t="n"/>
      <c r="H32" s="595" t="n"/>
      <c r="I32" s="595" t="n"/>
      <c r="J32" s="595" t="n"/>
      <c r="K32" s="596" t="n"/>
    </row>
    <row r="33" hidden="1" outlineLevel="1" s="592">
      <c r="A33" s="338" t="n">
        <v>11</v>
      </c>
      <c r="B33" s="338" t="n"/>
      <c r="C33" s="339" t="n"/>
      <c r="D33" s="340" t="n"/>
      <c r="E33" s="643" t="n"/>
      <c r="F33" s="595" t="n"/>
      <c r="G33" s="595" t="n"/>
      <c r="H33" s="595" t="n"/>
      <c r="I33" s="595" t="n"/>
      <c r="J33" s="595" t="n"/>
      <c r="K33" s="596" t="n"/>
    </row>
    <row r="34" hidden="1" outlineLevel="1" s="592">
      <c r="A34" s="338" t="n">
        <v>12</v>
      </c>
      <c r="B34" s="338" t="n"/>
      <c r="C34" s="339" t="n"/>
      <c r="D34" s="340" t="n"/>
      <c r="E34" s="643" t="n"/>
      <c r="F34" s="595" t="n"/>
      <c r="G34" s="595" t="n"/>
      <c r="H34" s="595" t="n"/>
      <c r="I34" s="595" t="n"/>
      <c r="J34" s="595" t="n"/>
      <c r="K34" s="596" t="n"/>
    </row>
    <row r="35" hidden="1" outlineLevel="1" s="592">
      <c r="A35" s="338" t="n">
        <v>13</v>
      </c>
      <c r="B35" s="338" t="n"/>
      <c r="C35" s="339" t="n"/>
      <c r="D35" s="340" t="n"/>
      <c r="E35" s="643" t="n"/>
      <c r="F35" s="595" t="n"/>
      <c r="G35" s="595" t="n"/>
      <c r="H35" s="595" t="n"/>
      <c r="I35" s="595" t="n"/>
      <c r="J35" s="595" t="n"/>
      <c r="K35" s="596" t="n"/>
    </row>
    <row r="36" hidden="1" outlineLevel="1" s="592">
      <c r="A36" s="338" t="n">
        <v>14</v>
      </c>
      <c r="B36" s="338" t="n"/>
      <c r="C36" s="339" t="n"/>
      <c r="D36" s="340" t="n"/>
      <c r="E36" s="643" t="n"/>
      <c r="F36" s="595" t="n"/>
      <c r="G36" s="595" t="n"/>
      <c r="H36" s="595" t="n"/>
      <c r="I36" s="595" t="n"/>
      <c r="J36" s="595" t="n"/>
      <c r="K36" s="596" t="n"/>
    </row>
    <row r="37" hidden="1" outlineLevel="1" s="592">
      <c r="A37" s="338" t="n">
        <v>15</v>
      </c>
      <c r="B37" s="338" t="n"/>
      <c r="C37" s="339" t="n"/>
      <c r="D37" s="340" t="n"/>
      <c r="E37" s="643" t="n"/>
      <c r="F37" s="595" t="n"/>
      <c r="G37" s="595" t="n"/>
      <c r="H37" s="595" t="n"/>
      <c r="I37" s="595" t="n"/>
      <c r="J37" s="595" t="n"/>
      <c r="K37" s="596" t="n"/>
    </row>
    <row r="38" hidden="1" outlineLevel="1" s="592">
      <c r="A38" s="338" t="n">
        <v>16</v>
      </c>
      <c r="B38" s="338" t="n"/>
      <c r="C38" s="339" t="n"/>
      <c r="D38" s="340" t="n"/>
      <c r="E38" s="643" t="n"/>
      <c r="F38" s="595" t="n"/>
      <c r="G38" s="595" t="n"/>
      <c r="H38" s="595" t="n"/>
      <c r="I38" s="595" t="n"/>
      <c r="J38" s="595" t="n"/>
      <c r="K38" s="596" t="n"/>
    </row>
    <row r="39" hidden="1" outlineLevel="1" s="592">
      <c r="A39" s="338" t="n">
        <v>17</v>
      </c>
      <c r="B39" s="338" t="n"/>
      <c r="C39" s="339" t="n"/>
      <c r="D39" s="340" t="n"/>
      <c r="E39" s="643" t="n"/>
      <c r="F39" s="595" t="n"/>
      <c r="G39" s="595" t="n"/>
      <c r="H39" s="595" t="n"/>
      <c r="I39" s="595" t="n"/>
      <c r="J39" s="595" t="n"/>
      <c r="K39" s="596" t="n"/>
    </row>
    <row r="40" hidden="1" outlineLevel="1" s="592">
      <c r="A40" s="338" t="n">
        <v>18</v>
      </c>
      <c r="B40" s="338" t="n"/>
      <c r="C40" s="339" t="n"/>
      <c r="D40" s="340" t="n"/>
      <c r="E40" s="643" t="n"/>
      <c r="F40" s="595" t="n"/>
      <c r="G40" s="595" t="n"/>
      <c r="H40" s="595" t="n"/>
      <c r="I40" s="595" t="n"/>
      <c r="J40" s="595" t="n"/>
      <c r="K40" s="596" t="n"/>
    </row>
    <row r="41" hidden="1" outlineLevel="1" s="592">
      <c r="A41" s="338" t="n">
        <v>19</v>
      </c>
      <c r="B41" s="338" t="n"/>
      <c r="C41" s="339" t="n"/>
      <c r="D41" s="340" t="n"/>
      <c r="E41" s="643" t="n"/>
      <c r="F41" s="595" t="n"/>
      <c r="G41" s="595" t="n"/>
      <c r="H41" s="595" t="n"/>
      <c r="I41" s="595" t="n"/>
      <c r="J41" s="595" t="n"/>
      <c r="K41" s="596" t="n"/>
    </row>
    <row r="42" hidden="1" outlineLevel="1" s="592">
      <c r="A42" s="338" t="n">
        <v>20</v>
      </c>
      <c r="B42" s="338" t="n"/>
      <c r="C42" s="339" t="n"/>
      <c r="D42" s="340" t="n"/>
      <c r="E42" s="643" t="n"/>
      <c r="F42" s="595" t="n"/>
      <c r="G42" s="595" t="n"/>
      <c r="H42" s="595" t="n"/>
      <c r="I42" s="595" t="n"/>
      <c r="J42" s="595" t="n"/>
      <c r="K42" s="596" t="n"/>
    </row>
    <row r="43">
      <c r="A43" s="345" t="inlineStr">
        <is>
          <t>คำอธิบาย สถานะการดำเนินงาน</t>
        </is>
      </c>
      <c r="B43" s="343" t="n"/>
      <c r="C43" s="548" t="n"/>
      <c r="D43" s="548" t="n"/>
      <c r="E43" s="548" t="n"/>
      <c r="F43" s="548" t="n"/>
      <c r="G43" s="548" t="n"/>
      <c r="H43" s="548" t="n"/>
      <c r="I43" s="548" t="n"/>
      <c r="J43" s="548" t="n"/>
      <c r="K43" s="548" t="n"/>
    </row>
    <row r="44">
      <c r="A44" s="345" t="inlineStr">
        <is>
          <t>หมายเหตุ</t>
        </is>
      </c>
      <c r="B44" s="343" t="inlineStr">
        <is>
          <t>โปรดระบุตัวเลขสถานะการดำเนินงาน ในช่อง "สถานะการดำเนินงาน"</t>
        </is>
      </c>
    </row>
    <row r="45">
      <c r="A45" s="346" t="n"/>
      <c r="B45" s="347" t="n">
        <v>1</v>
      </c>
      <c r="C45" s="348" t="inlineStr">
        <is>
          <t>ไม่ได้ดำเนินงาน</t>
        </is>
      </c>
      <c r="D45" s="349" t="inlineStr">
        <is>
          <t>หมายถึง ถึงแผนที่จะต้องดำเนินงานแล้ว แต่ "ไม่ได้ดำเนินการ" เนื่องจากมีเหตุจำเป็น...</t>
        </is>
      </c>
    </row>
    <row r="46">
      <c r="A46" s="346" t="n"/>
      <c r="B46" s="350" t="n">
        <v>2</v>
      </c>
      <c r="C46" s="348" t="inlineStr">
        <is>
          <t>ไม่ถึงแผนที่กำหนด</t>
        </is>
      </c>
      <c r="D46" s="349" t="inlineStr">
        <is>
          <t>หมายถึง มีแผนการดำเนินงานในไตรมาสอื่น</t>
        </is>
      </c>
    </row>
    <row r="47">
      <c r="A47" s="346" t="n"/>
      <c r="B47" s="350" t="n">
        <v>3</v>
      </c>
      <c r="C47" s="348" t="inlineStr">
        <is>
          <t>อยู่ระหว่างการดำเนินงาน</t>
        </is>
      </c>
      <c r="D47" s="348" t="inlineStr">
        <is>
          <t>หมายถึง ดำเนินงานแล้ว แต่ยังไม่เเล้วเสร็จ หรือมีแผนดำเนินงานครั้งที่ 2/3/4</t>
        </is>
      </c>
    </row>
    <row r="48">
      <c r="A48" s="346" t="n"/>
      <c r="B48" s="351" t="n">
        <v>4</v>
      </c>
      <c r="C48" s="348" t="inlineStr">
        <is>
          <t>ดำเนินการแล้ว</t>
        </is>
      </c>
      <c r="D48" s="348" t="inlineStr">
        <is>
          <t>หมายถึง ดำเนินงานแล้วเสร็จ</t>
        </is>
      </c>
    </row>
    <row r="49" hidden="1" ht="6.75" customHeight="1" s="592">
      <c r="A49" s="352" t="n"/>
      <c r="B49" s="353" t="n"/>
      <c r="C49" s="353" t="n"/>
      <c r="D49" s="353" t="n"/>
      <c r="E49" s="353" t="n"/>
      <c r="F49" s="353" t="n"/>
      <c r="G49" s="353" t="n"/>
      <c r="H49" s="353" t="n"/>
      <c r="I49" s="353" t="n"/>
      <c r="J49" s="353" t="n"/>
      <c r="K49" s="353" t="n"/>
    </row>
    <row r="50" hidden="1" s="592">
      <c r="A50" s="644" t="inlineStr">
        <is>
          <t>ผลการดำเนินงาน</t>
        </is>
      </c>
      <c r="B50" s="595" t="n"/>
      <c r="C50" s="595" t="n"/>
      <c r="D50" s="595" t="n"/>
      <c r="E50" s="595" t="n"/>
      <c r="F50" s="595" t="n"/>
      <c r="G50" s="595" t="n"/>
      <c r="H50" s="595" t="n"/>
      <c r="I50" s="595" t="n"/>
      <c r="J50" s="595" t="n"/>
      <c r="K50" s="596" t="n"/>
    </row>
    <row r="51" hidden="1" s="592">
      <c r="A51" s="645" t="inlineStr">
        <is>
          <t>ตัวชี้วัดความสำเร็จของโครงการ</t>
        </is>
      </c>
      <c r="B51" s="640" t="n"/>
      <c r="C51" s="641" t="n"/>
      <c r="D51" s="645" t="inlineStr">
        <is>
          <t>หน่วยนับ</t>
        </is>
      </c>
      <c r="E51" s="645" t="inlineStr">
        <is>
          <t>แผน
ปี 2570</t>
        </is>
      </c>
      <c r="F51" s="645" t="inlineStr">
        <is>
          <t>ผล
ปี 2570</t>
        </is>
      </c>
      <c r="G51" s="645" t="inlineStr">
        <is>
          <t>การรายงานผล</t>
        </is>
      </c>
      <c r="H51" s="641" t="n"/>
      <c r="I51" s="646" t="inlineStr">
        <is>
          <t>อธิบายผลการดำเนินงาน
(รายงานผลเทียบแผน อย่างไร)</t>
        </is>
      </c>
      <c r="J51" s="640" t="n"/>
      <c r="K51" s="641" t="n"/>
    </row>
    <row r="52" hidden="1" s="592">
      <c r="A52" s="642" t="n"/>
      <c r="B52" s="601" t="n"/>
      <c r="C52" s="602" t="n"/>
      <c r="D52" s="629" t="n"/>
      <c r="E52" s="629" t="n"/>
      <c r="F52" s="629" t="n"/>
      <c r="G52" s="642" t="n"/>
      <c r="H52" s="602" t="n"/>
      <c r="I52" s="642" t="n"/>
      <c r="J52" s="601" t="n"/>
      <c r="K52" s="602" t="n"/>
    </row>
    <row r="53" hidden="1" s="592">
      <c r="A53" s="647" t="inlineStr">
        <is>
          <t xml:space="preserve">เชิงปริมาณ </t>
        </is>
      </c>
      <c r="B53" s="595" t="n"/>
      <c r="C53" s="596" t="n"/>
      <c r="D53" s="367" t="n"/>
      <c r="E53" s="367" t="n"/>
      <c r="F53" s="368" t="inlineStr">
        <is>
          <t>ไตรมาส 4</t>
        </is>
      </c>
      <c r="G53" s="369" t="inlineStr">
        <is>
          <t>ระบุได้</t>
        </is>
      </c>
      <c r="H53" s="370" t="inlineStr">
        <is>
          <t>ระบุไม่ได้</t>
        </is>
      </c>
      <c r="I53" s="368" t="n"/>
      <c r="J53" s="595" t="n"/>
      <c r="K53" s="596" t="n"/>
    </row>
    <row r="54" hidden="1" s="592">
      <c r="A54" s="648">
        <f>IFERROR(__xludf.DUMMYFUNCTION("QUERY('โครงการ'!C65:J74,""SELECT C WHERE C IS NOT NULL"")"),"#N/A")</f>
        <v/>
      </c>
      <c r="B54" s="595" t="n"/>
      <c r="C54" s="596" t="n"/>
      <c r="D54" s="450">
        <f>IFERROR(__xludf.DUMMYFUNCTION("QUERY('โครงการ'!C65:J74,""SELECT I,J WHERE C IS NOT NULL"")"),"#N/A")</f>
        <v/>
      </c>
      <c r="E54" s="450" t="n"/>
      <c r="F54" s="374" t="n"/>
      <c r="G54" s="375" t="b">
        <v>0</v>
      </c>
      <c r="H54" s="376" t="b">
        <v>0</v>
      </c>
      <c r="I54" s="649" t="n"/>
      <c r="J54" s="595" t="n"/>
      <c r="K54" s="596" t="n"/>
    </row>
    <row r="55" hidden="1" s="592">
      <c r="A55" s="648" t="n"/>
      <c r="B55" s="595" t="n"/>
      <c r="C55" s="596" t="n"/>
      <c r="D55" s="450" t="n"/>
      <c r="E55" s="450" t="n"/>
      <c r="F55" s="374" t="n"/>
      <c r="G55" s="375" t="b">
        <v>0</v>
      </c>
      <c r="H55" s="376" t="b">
        <v>0</v>
      </c>
      <c r="I55" s="649" t="n"/>
      <c r="J55" s="595" t="n"/>
      <c r="K55" s="596" t="n"/>
    </row>
    <row r="56" hidden="1" s="592">
      <c r="A56" s="648" t="n"/>
      <c r="B56" s="595" t="n"/>
      <c r="C56" s="596" t="n"/>
      <c r="D56" s="450" t="n"/>
      <c r="E56" s="450" t="n"/>
      <c r="F56" s="374" t="n"/>
      <c r="G56" s="375" t="b">
        <v>0</v>
      </c>
      <c r="H56" s="376" t="b">
        <v>0</v>
      </c>
      <c r="I56" s="649" t="n"/>
      <c r="J56" s="595" t="n"/>
      <c r="K56" s="596" t="n"/>
    </row>
    <row r="57" hidden="1" s="592">
      <c r="A57" s="648" t="n"/>
      <c r="B57" s="595" t="n"/>
      <c r="C57" s="596" t="n"/>
      <c r="D57" s="450" t="n"/>
      <c r="E57" s="450" t="n"/>
      <c r="F57" s="374" t="n"/>
      <c r="G57" s="375" t="b">
        <v>0</v>
      </c>
      <c r="H57" s="376" t="b">
        <v>0</v>
      </c>
      <c r="I57" s="649" t="n"/>
      <c r="J57" s="595" t="n"/>
      <c r="K57" s="596" t="n"/>
    </row>
    <row r="58" hidden="1" collapsed="1" s="592">
      <c r="A58" s="648" t="n"/>
      <c r="B58" s="595" t="n"/>
      <c r="C58" s="596" t="n"/>
      <c r="D58" s="450" t="n"/>
      <c r="E58" s="450" t="n"/>
      <c r="F58" s="374" t="n"/>
      <c r="G58" s="375" t="b">
        <v>0</v>
      </c>
      <c r="H58" s="376" t="b">
        <v>0</v>
      </c>
      <c r="I58" s="649" t="n"/>
      <c r="J58" s="595" t="n"/>
      <c r="K58" s="596" t="n"/>
    </row>
    <row r="59" hidden="1" outlineLevel="1" s="592">
      <c r="A59" s="648" t="n"/>
      <c r="B59" s="595" t="n"/>
      <c r="C59" s="596" t="n"/>
      <c r="D59" s="450" t="n"/>
      <c r="E59" s="450" t="n"/>
      <c r="F59" s="374" t="n"/>
      <c r="G59" s="375" t="b">
        <v>0</v>
      </c>
      <c r="H59" s="376" t="b">
        <v>0</v>
      </c>
      <c r="I59" s="649" t="n"/>
      <c r="J59" s="595" t="n"/>
      <c r="K59" s="596" t="n"/>
    </row>
    <row r="60" hidden="1" outlineLevel="1" s="592">
      <c r="A60" s="648" t="n"/>
      <c r="B60" s="595" t="n"/>
      <c r="C60" s="596" t="n"/>
      <c r="D60" s="450" t="n"/>
      <c r="E60" s="450" t="n"/>
      <c r="F60" s="374" t="n"/>
      <c r="G60" s="375" t="b">
        <v>0</v>
      </c>
      <c r="H60" s="376" t="b">
        <v>0</v>
      </c>
      <c r="I60" s="649" t="n"/>
      <c r="J60" s="595" t="n"/>
      <c r="K60" s="596" t="n"/>
    </row>
    <row r="61" hidden="1" outlineLevel="1" s="592">
      <c r="A61" s="648" t="n"/>
      <c r="B61" s="595" t="n"/>
      <c r="C61" s="596" t="n"/>
      <c r="D61" s="450" t="n"/>
      <c r="E61" s="450" t="n"/>
      <c r="F61" s="374" t="n"/>
      <c r="G61" s="375" t="b">
        <v>0</v>
      </c>
      <c r="H61" s="376" t="b">
        <v>0</v>
      </c>
      <c r="I61" s="649" t="n"/>
      <c r="J61" s="595" t="n"/>
      <c r="K61" s="596" t="n"/>
    </row>
    <row r="62" hidden="1" outlineLevel="1" s="592">
      <c r="A62" s="648" t="n"/>
      <c r="B62" s="595" t="n"/>
      <c r="C62" s="596" t="n"/>
      <c r="D62" s="450" t="n"/>
      <c r="E62" s="450" t="n"/>
      <c r="F62" s="374" t="n"/>
      <c r="G62" s="375" t="b">
        <v>0</v>
      </c>
      <c r="H62" s="376" t="b">
        <v>0</v>
      </c>
      <c r="I62" s="649" t="n"/>
      <c r="J62" s="595" t="n"/>
      <c r="K62" s="596" t="n"/>
    </row>
    <row r="63" hidden="1" outlineLevel="1" s="592">
      <c r="A63" s="648" t="n"/>
      <c r="B63" s="595" t="n"/>
      <c r="C63" s="596" t="n"/>
      <c r="D63" s="450" t="n"/>
      <c r="E63" s="450" t="n"/>
      <c r="F63" s="374" t="n"/>
      <c r="G63" s="375" t="b">
        <v>0</v>
      </c>
      <c r="H63" s="376" t="b">
        <v>0</v>
      </c>
      <c r="I63" s="649" t="n"/>
      <c r="J63" s="595" t="n"/>
      <c r="K63" s="596" t="n"/>
    </row>
    <row r="64" hidden="1" s="592">
      <c r="A64" s="647" t="inlineStr">
        <is>
          <t xml:space="preserve">เชิงคุณภาพ </t>
        </is>
      </c>
      <c r="B64" s="595" t="n"/>
      <c r="C64" s="596" t="n"/>
      <c r="D64" s="368" t="n"/>
      <c r="E64" s="368" t="n"/>
      <c r="F64" s="368" t="n"/>
      <c r="G64" s="367" t="n"/>
      <c r="H64" s="367" t="n"/>
      <c r="I64" s="368" t="n"/>
      <c r="J64" s="595" t="n"/>
      <c r="K64" s="596" t="n"/>
    </row>
    <row r="65" hidden="1" s="592">
      <c r="A65" s="648">
        <f>IFERROR(__xludf.DUMMYFUNCTION("QUERY('โครงการ'!C76:J85,""SELECT C WHERE C IS NOT NULL"")"),"#N/A")</f>
        <v/>
      </c>
      <c r="B65" s="595" t="n"/>
      <c r="C65" s="596" t="n"/>
      <c r="D65" s="450">
        <f>IFERROR(__xludf.DUMMYFUNCTION("QUERY('โครงการ'!C76:J85,""SELECT I,J WHERE C IS NOT NULL"")"),"#N/A")</f>
        <v/>
      </c>
      <c r="E65" s="450" t="n"/>
      <c r="F65" s="374" t="n"/>
      <c r="G65" s="375" t="b">
        <v>0</v>
      </c>
      <c r="H65" s="376" t="b">
        <v>0</v>
      </c>
      <c r="I65" s="649" t="n"/>
      <c r="J65" s="595" t="n"/>
      <c r="K65" s="596" t="n"/>
    </row>
    <row r="66" hidden="1" s="592">
      <c r="A66" s="648" t="n"/>
      <c r="B66" s="595" t="n"/>
      <c r="C66" s="596" t="n"/>
      <c r="D66" s="450" t="n"/>
      <c r="E66" s="450" t="n"/>
      <c r="F66" s="374" t="n"/>
      <c r="G66" s="375" t="b">
        <v>0</v>
      </c>
      <c r="H66" s="376" t="b">
        <v>0</v>
      </c>
      <c r="I66" s="649" t="n"/>
      <c r="J66" s="595" t="n"/>
      <c r="K66" s="596" t="n"/>
    </row>
    <row r="67" hidden="1" s="592">
      <c r="A67" s="648" t="n"/>
      <c r="B67" s="595" t="n"/>
      <c r="C67" s="596" t="n"/>
      <c r="D67" s="450" t="n"/>
      <c r="E67" s="450" t="n"/>
      <c r="F67" s="374" t="n"/>
      <c r="G67" s="375" t="b">
        <v>0</v>
      </c>
      <c r="H67" s="376" t="b">
        <v>0</v>
      </c>
      <c r="I67" s="649" t="n"/>
      <c r="J67" s="595" t="n"/>
      <c r="K67" s="596" t="n"/>
    </row>
    <row r="68" hidden="1" s="592">
      <c r="A68" s="648" t="n"/>
      <c r="B68" s="595" t="n"/>
      <c r="C68" s="596" t="n"/>
      <c r="D68" s="450" t="n"/>
      <c r="E68" s="450" t="n"/>
      <c r="F68" s="374" t="n"/>
      <c r="G68" s="375" t="b">
        <v>0</v>
      </c>
      <c r="H68" s="376" t="b">
        <v>0</v>
      </c>
      <c r="I68" s="649" t="n"/>
      <c r="J68" s="595" t="n"/>
      <c r="K68" s="596" t="n"/>
    </row>
    <row r="69" hidden="1" collapsed="1" s="592">
      <c r="A69" s="648" t="n"/>
      <c r="B69" s="595" t="n"/>
      <c r="C69" s="596" t="n"/>
      <c r="D69" s="450" t="n"/>
      <c r="E69" s="450" t="n"/>
      <c r="F69" s="374" t="n"/>
      <c r="G69" s="375" t="b">
        <v>0</v>
      </c>
      <c r="H69" s="376" t="b">
        <v>0</v>
      </c>
      <c r="I69" s="649" t="n"/>
      <c r="J69" s="595" t="n"/>
      <c r="K69" s="596" t="n"/>
    </row>
    <row r="70" hidden="1" outlineLevel="1" s="592">
      <c r="A70" s="648" t="n"/>
      <c r="B70" s="595" t="n"/>
      <c r="C70" s="596" t="n"/>
      <c r="D70" s="450" t="n"/>
      <c r="E70" s="450" t="n"/>
      <c r="F70" s="374" t="n"/>
      <c r="G70" s="375" t="b">
        <v>0</v>
      </c>
      <c r="H70" s="376" t="b">
        <v>0</v>
      </c>
      <c r="I70" s="649" t="n"/>
      <c r="J70" s="595" t="n"/>
      <c r="K70" s="596" t="n"/>
    </row>
    <row r="71" hidden="1" outlineLevel="1" s="592">
      <c r="A71" s="648" t="n"/>
      <c r="B71" s="595" t="n"/>
      <c r="C71" s="596" t="n"/>
      <c r="D71" s="450" t="n"/>
      <c r="E71" s="450" t="n"/>
      <c r="F71" s="374" t="n"/>
      <c r="G71" s="375" t="b">
        <v>0</v>
      </c>
      <c r="H71" s="376" t="b">
        <v>0</v>
      </c>
      <c r="I71" s="649" t="n"/>
      <c r="J71" s="595" t="n"/>
      <c r="K71" s="596" t="n"/>
    </row>
    <row r="72" hidden="1" outlineLevel="1" s="592">
      <c r="A72" s="648" t="n"/>
      <c r="B72" s="595" t="n"/>
      <c r="C72" s="596" t="n"/>
      <c r="D72" s="450" t="n"/>
      <c r="E72" s="450" t="n"/>
      <c r="F72" s="374" t="n"/>
      <c r="G72" s="375" t="b">
        <v>0</v>
      </c>
      <c r="H72" s="376" t="b">
        <v>0</v>
      </c>
      <c r="I72" s="649" t="n"/>
      <c r="J72" s="595" t="n"/>
      <c r="K72" s="596" t="n"/>
    </row>
    <row r="73" hidden="1" outlineLevel="1" s="592">
      <c r="A73" s="648" t="n"/>
      <c r="B73" s="595" t="n"/>
      <c r="C73" s="596" t="n"/>
      <c r="D73" s="450" t="n"/>
      <c r="E73" s="450" t="n"/>
      <c r="F73" s="374" t="n"/>
      <c r="G73" s="375" t="b">
        <v>0</v>
      </c>
      <c r="H73" s="376" t="b">
        <v>0</v>
      </c>
      <c r="I73" s="649" t="n"/>
      <c r="J73" s="595" t="n"/>
      <c r="K73" s="596" t="n"/>
    </row>
    <row r="74" hidden="1" outlineLevel="1" s="592">
      <c r="A74" s="648" t="n"/>
      <c r="B74" s="595" t="n"/>
      <c r="C74" s="596" t="n"/>
      <c r="D74" s="450" t="n"/>
      <c r="E74" s="450" t="n"/>
      <c r="F74" s="374" t="n"/>
      <c r="G74" s="375" t="b">
        <v>0</v>
      </c>
      <c r="H74" s="376" t="b">
        <v>0</v>
      </c>
      <c r="I74" s="649" t="n"/>
      <c r="J74" s="595" t="n"/>
      <c r="K74" s="596" t="n"/>
    </row>
    <row r="75" hidden="1" ht="6.75" customHeight="1" s="592">
      <c r="A75" s="378" t="n"/>
      <c r="B75" s="378" t="n"/>
      <c r="C75" s="378" t="n"/>
      <c r="D75" s="378" t="n"/>
      <c r="E75" s="378" t="n"/>
      <c r="F75" s="378" t="n"/>
      <c r="G75" s="378" t="n"/>
      <c r="H75" s="378" t="n"/>
      <c r="I75" s="378" t="n"/>
      <c r="J75" s="378" t="n"/>
      <c r="K75" s="378" t="n"/>
    </row>
    <row r="76" hidden="1" s="592">
      <c r="A76" s="379" t="n"/>
      <c r="B76" s="379" t="n"/>
      <c r="C76" s="379" t="n"/>
      <c r="D76" s="379" t="n"/>
      <c r="E76" s="379" t="n"/>
      <c r="F76" s="379" t="n"/>
      <c r="G76" s="379" t="n"/>
      <c r="H76" s="379" t="n"/>
      <c r="I76" s="379" t="n"/>
      <c r="J76" s="379" t="n"/>
      <c r="K76" s="379" t="n"/>
    </row>
    <row r="77">
      <c r="A77" s="548" t="n"/>
      <c r="B77" s="548" t="n"/>
      <c r="C77" s="548" t="n"/>
      <c r="D77" s="548" t="n"/>
      <c r="E77" s="548" t="n"/>
      <c r="F77" s="548" t="n"/>
      <c r="G77" s="548" t="n"/>
      <c r="H77" s="548" t="n"/>
      <c r="I77" s="548" t="n"/>
      <c r="J77" s="548" t="n"/>
      <c r="K77" s="548" t="n"/>
    </row>
    <row r="78">
      <c r="A78" s="548" t="n"/>
      <c r="B78" s="548" t="n"/>
      <c r="C78" s="548" t="n"/>
      <c r="D78" s="548" t="n"/>
      <c r="E78" s="548" t="n"/>
      <c r="F78" s="548" t="n"/>
      <c r="G78" s="548" t="n"/>
      <c r="H78" s="548" t="n"/>
      <c r="I78" s="548" t="n"/>
      <c r="J78" s="548" t="n"/>
      <c r="K78" s="548" t="n"/>
    </row>
    <row r="79">
      <c r="A79" s="548" t="n"/>
      <c r="B79" s="548" t="n"/>
      <c r="C79" s="548" t="n"/>
      <c r="D79" s="548" t="n"/>
      <c r="E79" s="548" t="n"/>
      <c r="F79" s="548" t="n"/>
      <c r="G79" s="548" t="n"/>
      <c r="H79" s="548" t="n"/>
      <c r="I79" s="548" t="n"/>
      <c r="J79" s="548" t="n"/>
      <c r="K79" s="548" t="n"/>
    </row>
    <row r="80">
      <c r="A80" s="548" t="n"/>
      <c r="B80" s="548" t="n"/>
      <c r="C80" s="548" t="n"/>
      <c r="D80" s="548" t="n"/>
      <c r="E80" s="548" t="n"/>
      <c r="F80" s="548" t="n"/>
      <c r="G80" s="548" t="n"/>
      <c r="H80" s="548" t="n"/>
      <c r="I80" s="548" t="n"/>
      <c r="J80" s="548" t="n"/>
      <c r="K80" s="548" t="n"/>
    </row>
  </sheetData>
  <mergeCells count="101">
    <mergeCell ref="I54:K54"/>
    <mergeCell ref="E36:K36"/>
    <mergeCell ref="I72:K72"/>
    <mergeCell ref="D21:D22"/>
    <mergeCell ref="D46:K46"/>
    <mergeCell ref="I56:K56"/>
    <mergeCell ref="A57:C57"/>
    <mergeCell ref="H11:J11"/>
    <mergeCell ref="A71:C71"/>
    <mergeCell ref="A7:K7"/>
    <mergeCell ref="I73:K73"/>
    <mergeCell ref="A51:C52"/>
    <mergeCell ref="I63:K63"/>
    <mergeCell ref="E39:K39"/>
    <mergeCell ref="A63:C63"/>
    <mergeCell ref="I59:K59"/>
    <mergeCell ref="E29:K29"/>
    <mergeCell ref="I65:K65"/>
    <mergeCell ref="E38:K38"/>
    <mergeCell ref="I74:K74"/>
    <mergeCell ref="E31:K31"/>
    <mergeCell ref="E40:K40"/>
    <mergeCell ref="A69:C69"/>
    <mergeCell ref="A9:B9"/>
    <mergeCell ref="I51:K52"/>
    <mergeCell ref="A66:C66"/>
    <mergeCell ref="E26:K26"/>
    <mergeCell ref="C8:I8"/>
    <mergeCell ref="A11:B11"/>
    <mergeCell ref="A55:C55"/>
    <mergeCell ref="E25:K25"/>
    <mergeCell ref="I62:K62"/>
    <mergeCell ref="A1:K5"/>
    <mergeCell ref="I64:K64"/>
    <mergeCell ref="E42:K42"/>
    <mergeCell ref="A21:A22"/>
    <mergeCell ref="C9:J9"/>
    <mergeCell ref="C13:E13"/>
    <mergeCell ref="A58:C58"/>
    <mergeCell ref="A67:C67"/>
    <mergeCell ref="A8:B8"/>
    <mergeCell ref="A73:C73"/>
    <mergeCell ref="A60:C60"/>
    <mergeCell ref="E30:K30"/>
    <mergeCell ref="A10:B10"/>
    <mergeCell ref="E21:K22"/>
    <mergeCell ref="G17:I17"/>
    <mergeCell ref="I66:K66"/>
    <mergeCell ref="E51:E52"/>
    <mergeCell ref="I53:K53"/>
    <mergeCell ref="E32:K32"/>
    <mergeCell ref="E41:K41"/>
    <mergeCell ref="I68:K68"/>
    <mergeCell ref="I55:K55"/>
    <mergeCell ref="C11:E11"/>
    <mergeCell ref="D45:K45"/>
    <mergeCell ref="F51:F52"/>
    <mergeCell ref="I67:K67"/>
    <mergeCell ref="C21:C22"/>
    <mergeCell ref="J8:K8"/>
    <mergeCell ref="A62:C62"/>
    <mergeCell ref="E24:K24"/>
    <mergeCell ref="E33:K33"/>
    <mergeCell ref="A72:C72"/>
    <mergeCell ref="A12:B12"/>
    <mergeCell ref="D48:K48"/>
    <mergeCell ref="E35:K35"/>
    <mergeCell ref="A14:B14"/>
    <mergeCell ref="A59:C59"/>
    <mergeCell ref="A64:C64"/>
    <mergeCell ref="E28:K28"/>
    <mergeCell ref="A61:C61"/>
    <mergeCell ref="I70:K70"/>
    <mergeCell ref="A70:C70"/>
    <mergeCell ref="I57:K57"/>
    <mergeCell ref="G15:J15"/>
    <mergeCell ref="B21:B22"/>
    <mergeCell ref="A54:C54"/>
    <mergeCell ref="F11:G11"/>
    <mergeCell ref="I71:K71"/>
    <mergeCell ref="A74:C74"/>
    <mergeCell ref="A56:C56"/>
    <mergeCell ref="I58:K58"/>
    <mergeCell ref="E37:K37"/>
    <mergeCell ref="G51:H52"/>
    <mergeCell ref="A53:C53"/>
    <mergeCell ref="E23:K23"/>
    <mergeCell ref="A50:K50"/>
    <mergeCell ref="A68:C68"/>
    <mergeCell ref="D47:K47"/>
    <mergeCell ref="I60:K60"/>
    <mergeCell ref="I69:K69"/>
    <mergeCell ref="A20:K20"/>
    <mergeCell ref="D51:D52"/>
    <mergeCell ref="E34:K34"/>
    <mergeCell ref="B44:K44"/>
    <mergeCell ref="I61:K61"/>
    <mergeCell ref="A13:B13"/>
    <mergeCell ref="A65:C65"/>
    <mergeCell ref="J17:K17"/>
    <mergeCell ref="E27:K27"/>
  </mergeCells>
  <hyperlinks>
    <hyperlink xmlns:r="http://schemas.openxmlformats.org/officeDocument/2006/relationships" ref="J8" r:id="rId1"/>
  </hyperlinks>
  <printOptions horizontalCentered="1" gridLines="1"/>
  <pageMargins left="0.7" right="0.7" top="0.75" bottom="0.75" header="0" footer="0"/>
  <pageSetup orientation="portrait" paperSize="9" fitToHeight="0" pageOrder="overThenDown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FF00"/>
    <outlinePr summaryBelow="0" summaryRight="0"/>
    <pageSetUpPr fitToPage="1"/>
  </sheetPr>
  <dimension ref="A1:L244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10.25" customWidth="1" style="592" min="1" max="1"/>
    <col width="11.25" customWidth="1" style="592" min="2" max="2"/>
    <col width="38.88" customWidth="1" style="592" min="3" max="3"/>
    <col width="9.380000000000001" customWidth="1" style="592" min="4" max="4"/>
    <col width="9.5" customWidth="1" style="592" min="5" max="5"/>
    <col width="8.880000000000001" customWidth="1" style="592" min="6" max="7"/>
    <col width="9.75" customWidth="1" style="592" min="8" max="9"/>
    <col width="9.5" customWidth="1" style="592" min="10" max="10"/>
    <col width="17.88" customWidth="1" style="592" min="11" max="11"/>
    <col width="2.5" customWidth="1" style="592" min="12" max="12"/>
  </cols>
  <sheetData>
    <row r="1" ht="11.25" customHeight="1" s="592">
      <c r="A1" s="390" t="n"/>
    </row>
    <row r="2" ht="11.25" customHeight="1" s="592"/>
    <row r="3" ht="11.25" customHeight="1" s="592"/>
    <row r="4" ht="11.25" customHeight="1" s="592"/>
    <row r="5" ht="11.25" customHeight="1" s="592"/>
    <row r="6" ht="8.25" customHeight="1" s="592">
      <c r="A6" s="391" t="n"/>
      <c r="L6" s="391" t="n"/>
    </row>
    <row r="7">
      <c r="A7" s="392" t="inlineStr">
        <is>
          <t>แบบรายงานผลปิดจบโครงการ (Final report)
ประจำปีงบประมาณ 2570</t>
        </is>
      </c>
    </row>
    <row r="8">
      <c r="A8" s="393" t="inlineStr">
        <is>
          <t>.</t>
        </is>
      </c>
      <c r="C8" s="474">
        <f>'โครงการ'!D4</f>
        <v/>
      </c>
      <c r="J8" s="395" t="inlineStr">
        <is>
          <t>คำอธิบายการกรอกแบบฟอร์ม</t>
        </is>
      </c>
      <c r="L8" s="396" t="n"/>
    </row>
    <row r="9">
      <c r="A9" s="400">
        <f>'โครงการ'!D6</f>
        <v/>
      </c>
      <c r="C9" s="398">
        <f>'โครงการ'!D7</f>
        <v/>
      </c>
      <c r="L9" s="417" t="n"/>
    </row>
    <row r="10" ht="6" customHeight="1" s="592">
      <c r="A10" s="400" t="n"/>
      <c r="B10" s="400" t="n"/>
      <c r="C10" s="400" t="n"/>
      <c r="D10" s="400" t="n"/>
      <c r="E10" s="400" t="n"/>
      <c r="F10" s="417" t="n"/>
      <c r="G10" s="406" t="n"/>
      <c r="H10" s="417" t="n"/>
      <c r="I10" s="400" t="n"/>
      <c r="J10" s="400" t="n"/>
      <c r="K10" s="400" t="n"/>
      <c r="L10" s="400" t="n"/>
    </row>
    <row r="11">
      <c r="A11" s="403" t="inlineStr">
        <is>
          <t>หัวหน้าโครงการ</t>
        </is>
      </c>
      <c r="C11" s="650">
        <f>'รายงานQ4'!C11</f>
        <v/>
      </c>
      <c r="D11" s="595" t="n"/>
      <c r="E11" s="596" t="n"/>
      <c r="F11" s="406" t="inlineStr">
        <is>
          <t>E-mail : @mfu</t>
        </is>
      </c>
      <c r="G11" s="406" t="n"/>
      <c r="H11" s="651">
        <f>'รายงานQ4'!H11</f>
        <v/>
      </c>
      <c r="I11" s="632" t="n"/>
      <c r="J11" s="633" t="n"/>
      <c r="K11" s="410" t="n"/>
      <c r="L11" s="417" t="n"/>
    </row>
    <row r="12" ht="6" customHeight="1" s="592">
      <c r="A12" s="400" t="n"/>
      <c r="B12" s="400" t="n"/>
      <c r="C12" s="400" t="n"/>
      <c r="D12" s="400" t="n"/>
      <c r="E12" s="400" t="n"/>
      <c r="F12" s="417" t="n"/>
      <c r="G12" s="406" t="n"/>
      <c r="H12" s="417" t="n"/>
      <c r="I12" s="400" t="n"/>
      <c r="J12" s="400" t="n"/>
      <c r="K12" s="400" t="n"/>
      <c r="L12" s="400" t="n"/>
    </row>
    <row r="13">
      <c r="A13" s="400" t="inlineStr">
        <is>
          <t>ชื่อผู้รายงานผล</t>
        </is>
      </c>
      <c r="C13" s="650" t="n"/>
      <c r="D13" s="595" t="n"/>
      <c r="E13" s="596" t="n"/>
      <c r="F13" s="406" t="inlineStr">
        <is>
          <t>ผู้รายงานผลกรอกข้อมูลแล้วเสร็จ</t>
        </is>
      </c>
      <c r="G13" s="406" t="n"/>
      <c r="H13" s="417" t="n"/>
      <c r="I13" s="417" t="n"/>
      <c r="J13" s="313" t="b">
        <v>0</v>
      </c>
      <c r="K13" s="411" t="n"/>
      <c r="L13" s="412" t="n"/>
    </row>
    <row r="14" ht="6" customHeight="1" s="592">
      <c r="A14" s="413" t="n"/>
      <c r="B14" s="413" t="n"/>
      <c r="C14" s="417" t="n"/>
      <c r="D14" s="417" t="n"/>
      <c r="E14" s="417" t="n"/>
      <c r="F14" s="417" t="n"/>
      <c r="G14" s="406" t="n"/>
      <c r="H14" s="417" t="n"/>
      <c r="I14" s="417" t="n"/>
      <c r="J14" s="414" t="n"/>
      <c r="K14" s="414" t="n"/>
      <c r="L14" s="412" t="n"/>
    </row>
    <row r="15">
      <c r="A15" s="413" t="inlineStr">
        <is>
          <t>หัวหน้าโครงการส่งรายงานผลปิดจบโครงการ</t>
        </is>
      </c>
      <c r="B15" s="413" t="n"/>
      <c r="C15" s="417" t="n"/>
      <c r="D15" s="417" t="n"/>
      <c r="E15" s="415" t="b">
        <v>0</v>
      </c>
      <c r="F15" s="417" t="n"/>
      <c r="G15" s="406" t="inlineStr">
        <is>
          <t>ว/ด/ป ที่ส่ง Final report</t>
        </is>
      </c>
      <c r="H15" s="417" t="n"/>
      <c r="I15" s="417" t="n"/>
      <c r="J15" s="416" t="n"/>
      <c r="L15" s="412" t="n"/>
    </row>
    <row r="16" ht="6" customHeight="1" s="592">
      <c r="A16" s="417" t="n"/>
      <c r="B16" s="417" t="n"/>
      <c r="C16" s="417" t="n"/>
      <c r="D16" s="417" t="n"/>
      <c r="E16" s="417" t="n"/>
      <c r="F16" s="417" t="n"/>
      <c r="G16" s="417" t="n"/>
      <c r="H16" s="417" t="n"/>
      <c r="I16" s="417" t="n"/>
      <c r="J16" s="417" t="inlineStr">
        <is>
          <t>J</t>
        </is>
      </c>
      <c r="K16" s="417" t="n"/>
      <c r="L16" s="412" t="n"/>
    </row>
    <row r="17">
      <c r="A17" s="413" t="inlineStr">
        <is>
          <t>ส่วนนโยบายและแผน "ยืนยันรับ" รายงานผลปิดจบโครงการ</t>
        </is>
      </c>
      <c r="B17" s="413" t="n"/>
      <c r="C17" s="417" t="n"/>
      <c r="D17" s="417" t="n"/>
      <c r="E17" s="415" t="b">
        <v>0</v>
      </c>
      <c r="F17" s="417" t="n"/>
      <c r="G17" s="406" t="inlineStr">
        <is>
          <t>ว/ด/ป ที่รับ Final report</t>
        </is>
      </c>
      <c r="H17" s="417" t="n"/>
      <c r="I17" s="417" t="n"/>
      <c r="J17" s="416" t="n"/>
      <c r="L17" s="412" t="n"/>
    </row>
    <row r="18" ht="6" customHeight="1" s="592">
      <c r="A18" s="417" t="n"/>
      <c r="B18" s="417" t="n"/>
      <c r="C18" s="417" t="n"/>
      <c r="D18" s="417" t="n"/>
      <c r="E18" s="417" t="n"/>
      <c r="F18" s="417" t="n"/>
      <c r="G18" s="417" t="n"/>
      <c r="H18" s="417" t="n"/>
      <c r="I18" s="417" t="n"/>
      <c r="J18" s="417" t="n"/>
      <c r="K18" s="417" t="n"/>
      <c r="L18" s="412" t="n"/>
    </row>
    <row r="19" ht="8.25" customHeight="1" s="592">
      <c r="A19" s="436" t="n"/>
      <c r="B19" s="595" t="n"/>
      <c r="C19" s="595" t="n"/>
      <c r="D19" s="595" t="n"/>
      <c r="E19" s="595" t="n"/>
      <c r="F19" s="595" t="n"/>
      <c r="G19" s="595" t="n"/>
      <c r="H19" s="595" t="n"/>
      <c r="I19" s="595" t="n"/>
      <c r="J19" s="595" t="n"/>
      <c r="K19" s="595" t="n"/>
      <c r="L19" s="596" t="n"/>
    </row>
    <row r="20">
      <c r="A20" s="652" t="inlineStr">
        <is>
          <t>การดำเนินงาน-รายกิจกรรม</t>
        </is>
      </c>
      <c r="B20" s="595" t="n"/>
      <c r="C20" s="596" t="n"/>
      <c r="D20" s="653" t="inlineStr">
        <is>
          <t>รายรับ</t>
        </is>
      </c>
      <c r="E20" s="596" t="n"/>
      <c r="F20" s="654" t="inlineStr">
        <is>
          <t>รายจ่าย</t>
        </is>
      </c>
      <c r="G20" s="596" t="n"/>
      <c r="H20" s="655" t="inlineStr">
        <is>
          <t>การดำเนินงาน
(ระบุเดือนที่ดำเนินการ)</t>
        </is>
      </c>
      <c r="I20" s="596" t="n"/>
      <c r="J20" s="656" t="inlineStr">
        <is>
          <t>หมายเหตุ</t>
        </is>
      </c>
      <c r="K20" s="640" t="n"/>
      <c r="L20" s="641" t="n"/>
    </row>
    <row r="21">
      <c r="A21" s="424" t="inlineStr">
        <is>
          <t>ลำดับที่</t>
        </is>
      </c>
      <c r="B21" s="425" t="inlineStr">
        <is>
          <t>รหัสรายการ
งบประมาณ</t>
        </is>
      </c>
      <c r="C21" s="424" t="inlineStr">
        <is>
          <t>ชื่อรายการงบประมาณ</t>
        </is>
      </c>
      <c r="D21" s="426" t="inlineStr">
        <is>
          <t>แผน</t>
        </is>
      </c>
      <c r="E21" s="426" t="inlineStr">
        <is>
          <t>ผล</t>
        </is>
      </c>
      <c r="F21" s="427" t="inlineStr">
        <is>
          <t>แผน</t>
        </is>
      </c>
      <c r="G21" s="427" t="inlineStr">
        <is>
          <t>ผล</t>
        </is>
      </c>
      <c r="H21" s="428" t="inlineStr">
        <is>
          <t>แผน</t>
        </is>
      </c>
      <c r="I21" s="428" t="inlineStr">
        <is>
          <t>ผล</t>
        </is>
      </c>
      <c r="J21" s="601" t="n"/>
      <c r="K21" s="601" t="n"/>
      <c r="L21" s="602" t="n"/>
    </row>
    <row r="22">
      <c r="A22" s="429" t="n">
        <v>1</v>
      </c>
      <c r="B22" s="430">
        <f>IFERROR(__xludf.DUMMYFUNCTION("QUERY('รายการงบประมาณ'!$A$2:$F244,""SELECT A,B WHERE E&gt;0"")"),"#N/A")</f>
        <v/>
      </c>
      <c r="C22" s="431" t="n"/>
      <c r="D22" s="432" t="n"/>
      <c r="E22" s="432" t="n"/>
      <c r="F22" s="432">
        <f>IFERROR(__xludf.DUMMYFUNCTION("IFERROR(QUERY('รายการงบประมาณ'!$A$2:$F244,""SELECT E WHERE E&gt;0""),"""")"),"")</f>
        <v/>
      </c>
      <c r="G22" s="432" t="n"/>
      <c r="H22" s="435" t="n"/>
      <c r="I22" s="435" t="n"/>
      <c r="J22" s="657" t="n"/>
      <c r="K22" s="595" t="n"/>
      <c r="L22" s="596" t="n"/>
    </row>
    <row r="23">
      <c r="A23" s="429" t="n">
        <v>2</v>
      </c>
      <c r="B23" s="430" t="n"/>
      <c r="C23" s="431" t="n"/>
      <c r="D23" s="432" t="n"/>
      <c r="E23" s="432" t="n"/>
      <c r="F23" s="432" t="n"/>
      <c r="G23" s="432" t="n"/>
      <c r="H23" s="435" t="n"/>
      <c r="I23" s="435" t="n"/>
      <c r="J23" s="657" t="n"/>
      <c r="K23" s="595" t="n"/>
      <c r="L23" s="596" t="n"/>
    </row>
    <row r="24">
      <c r="A24" s="429" t="n">
        <v>3</v>
      </c>
      <c r="B24" s="430" t="n"/>
      <c r="C24" s="431" t="n"/>
      <c r="D24" s="432" t="n"/>
      <c r="E24" s="432" t="n"/>
      <c r="F24" s="432" t="n"/>
      <c r="G24" s="432" t="n"/>
      <c r="H24" s="435" t="n"/>
      <c r="I24" s="435" t="n"/>
      <c r="J24" s="657" t="n"/>
      <c r="K24" s="595" t="n"/>
      <c r="L24" s="596" t="n"/>
    </row>
    <row r="25">
      <c r="A25" s="429" t="n">
        <v>4</v>
      </c>
      <c r="B25" s="430" t="n"/>
      <c r="C25" s="431" t="n"/>
      <c r="D25" s="432" t="n"/>
      <c r="E25" s="432" t="n"/>
      <c r="F25" s="432" t="n"/>
      <c r="G25" s="432" t="n"/>
      <c r="H25" s="435" t="n"/>
      <c r="I25" s="435" t="n"/>
      <c r="J25" s="657" t="n"/>
      <c r="K25" s="595" t="n"/>
      <c r="L25" s="596" t="n"/>
    </row>
    <row r="26" collapsed="1" s="592">
      <c r="A26" s="429" t="n">
        <v>5</v>
      </c>
      <c r="B26" s="430" t="n"/>
      <c r="C26" s="431" t="n"/>
      <c r="D26" s="432" t="n"/>
      <c r="E26" s="432" t="n"/>
      <c r="F26" s="432" t="n"/>
      <c r="G26" s="432" t="n"/>
      <c r="H26" s="435" t="n"/>
      <c r="I26" s="435" t="n"/>
      <c r="J26" s="657" t="n"/>
      <c r="K26" s="595" t="n"/>
      <c r="L26" s="596" t="n"/>
    </row>
    <row r="27" hidden="1" outlineLevel="1" s="592">
      <c r="A27" s="429" t="n">
        <v>6</v>
      </c>
      <c r="B27" s="430" t="n"/>
      <c r="C27" s="431" t="n"/>
      <c r="D27" s="432" t="n"/>
      <c r="E27" s="432" t="n"/>
      <c r="F27" s="432" t="n"/>
      <c r="G27" s="432" t="n"/>
      <c r="H27" s="435" t="n"/>
      <c r="I27" s="435" t="n"/>
      <c r="J27" s="657" t="n"/>
      <c r="K27" s="595" t="n"/>
      <c r="L27" s="596" t="n"/>
    </row>
    <row r="28" hidden="1" outlineLevel="1" s="592">
      <c r="A28" s="429" t="n">
        <v>7</v>
      </c>
      <c r="B28" s="430" t="n"/>
      <c r="C28" s="431" t="n"/>
      <c r="D28" s="432" t="n"/>
      <c r="E28" s="432" t="n"/>
      <c r="F28" s="432" t="n"/>
      <c r="G28" s="432" t="n"/>
      <c r="H28" s="435" t="n"/>
      <c r="I28" s="435" t="n"/>
      <c r="J28" s="657" t="n"/>
      <c r="K28" s="595" t="n"/>
      <c r="L28" s="596" t="n"/>
    </row>
    <row r="29" hidden="1" outlineLevel="1" s="592">
      <c r="A29" s="429" t="n">
        <v>8</v>
      </c>
      <c r="B29" s="430" t="n"/>
      <c r="C29" s="431" t="n"/>
      <c r="D29" s="432" t="n"/>
      <c r="E29" s="432" t="n"/>
      <c r="F29" s="432" t="n"/>
      <c r="G29" s="432" t="n"/>
      <c r="H29" s="435" t="n"/>
      <c r="I29" s="435" t="n"/>
      <c r="J29" s="657" t="n"/>
      <c r="K29" s="595" t="n"/>
      <c r="L29" s="596" t="n"/>
    </row>
    <row r="30" hidden="1" outlineLevel="1" s="592">
      <c r="A30" s="429" t="n">
        <v>9</v>
      </c>
      <c r="B30" s="430" t="n"/>
      <c r="C30" s="431" t="n"/>
      <c r="D30" s="432" t="n"/>
      <c r="E30" s="432" t="n"/>
      <c r="F30" s="432" t="n"/>
      <c r="G30" s="432" t="n"/>
      <c r="H30" s="435" t="n"/>
      <c r="I30" s="435" t="n"/>
      <c r="J30" s="657" t="n"/>
      <c r="K30" s="595" t="n"/>
      <c r="L30" s="596" t="n"/>
    </row>
    <row r="31" hidden="1" outlineLevel="1" s="592">
      <c r="A31" s="429" t="n">
        <v>10</v>
      </c>
      <c r="B31" s="430" t="n"/>
      <c r="C31" s="431" t="n"/>
      <c r="D31" s="432" t="n"/>
      <c r="E31" s="432" t="n"/>
      <c r="F31" s="432" t="n"/>
      <c r="G31" s="432" t="n"/>
      <c r="H31" s="435" t="n"/>
      <c r="I31" s="435" t="n"/>
      <c r="J31" s="657" t="n"/>
      <c r="K31" s="595" t="n"/>
      <c r="L31" s="596" t="n"/>
    </row>
    <row r="32" hidden="1" outlineLevel="1" s="592">
      <c r="A32" s="429" t="n">
        <v>11</v>
      </c>
      <c r="B32" s="430" t="n"/>
      <c r="C32" s="431" t="n"/>
      <c r="D32" s="432" t="n"/>
      <c r="E32" s="432" t="n"/>
      <c r="F32" s="432" t="n"/>
      <c r="G32" s="432" t="n"/>
      <c r="H32" s="435" t="n"/>
      <c r="I32" s="435" t="n"/>
      <c r="J32" s="657" t="n"/>
      <c r="K32" s="595" t="n"/>
      <c r="L32" s="596" t="n"/>
    </row>
    <row r="33" hidden="1" outlineLevel="1" s="592">
      <c r="A33" s="429" t="n">
        <v>12</v>
      </c>
      <c r="B33" s="430" t="n"/>
      <c r="C33" s="431" t="n"/>
      <c r="D33" s="432" t="n"/>
      <c r="E33" s="432" t="n"/>
      <c r="F33" s="432" t="n"/>
      <c r="G33" s="432" t="n"/>
      <c r="H33" s="435" t="n"/>
      <c r="I33" s="435" t="n"/>
      <c r="J33" s="657" t="n"/>
      <c r="K33" s="595" t="n"/>
      <c r="L33" s="596" t="n"/>
    </row>
    <row r="34" hidden="1" outlineLevel="1" s="592">
      <c r="A34" s="429" t="n">
        <v>13</v>
      </c>
      <c r="B34" s="430" t="n"/>
      <c r="C34" s="431" t="n"/>
      <c r="D34" s="432" t="n"/>
      <c r="E34" s="432" t="n"/>
      <c r="F34" s="432" t="n"/>
      <c r="G34" s="432" t="n"/>
      <c r="H34" s="435" t="n"/>
      <c r="I34" s="435" t="n"/>
      <c r="J34" s="657" t="n"/>
      <c r="K34" s="595" t="n"/>
      <c r="L34" s="596" t="n"/>
    </row>
    <row r="35" hidden="1" outlineLevel="1" s="592">
      <c r="A35" s="429" t="n">
        <v>14</v>
      </c>
      <c r="B35" s="430" t="n"/>
      <c r="C35" s="431" t="n"/>
      <c r="D35" s="432" t="n"/>
      <c r="E35" s="432" t="n"/>
      <c r="F35" s="432" t="n"/>
      <c r="G35" s="432" t="n"/>
      <c r="H35" s="435" t="n"/>
      <c r="I35" s="435" t="n"/>
      <c r="J35" s="657" t="n"/>
      <c r="K35" s="595" t="n"/>
      <c r="L35" s="596" t="n"/>
    </row>
    <row r="36" hidden="1" outlineLevel="1" s="592">
      <c r="A36" s="429" t="n">
        <v>15</v>
      </c>
      <c r="B36" s="430" t="n"/>
      <c r="C36" s="431" t="n"/>
      <c r="D36" s="432" t="n"/>
      <c r="E36" s="432" t="n"/>
      <c r="F36" s="432" t="n"/>
      <c r="G36" s="432" t="n"/>
      <c r="H36" s="435" t="n"/>
      <c r="I36" s="435" t="n"/>
      <c r="J36" s="657" t="n"/>
      <c r="K36" s="595" t="n"/>
      <c r="L36" s="596" t="n"/>
    </row>
    <row r="37" hidden="1" outlineLevel="1" s="592">
      <c r="A37" s="429" t="n">
        <v>16</v>
      </c>
      <c r="B37" s="430" t="n"/>
      <c r="C37" s="431" t="n"/>
      <c r="D37" s="432" t="n"/>
      <c r="E37" s="432" t="n"/>
      <c r="F37" s="432" t="n"/>
      <c r="G37" s="432" t="n"/>
      <c r="H37" s="435" t="n"/>
      <c r="I37" s="435" t="n"/>
      <c r="J37" s="657" t="n"/>
      <c r="K37" s="595" t="n"/>
      <c r="L37" s="596" t="n"/>
    </row>
    <row r="38" hidden="1" outlineLevel="1" s="592">
      <c r="A38" s="429" t="n">
        <v>17</v>
      </c>
      <c r="B38" s="430" t="n"/>
      <c r="C38" s="431" t="n"/>
      <c r="D38" s="432" t="n"/>
      <c r="E38" s="432" t="n"/>
      <c r="F38" s="432" t="n"/>
      <c r="G38" s="432" t="n"/>
      <c r="H38" s="435" t="n"/>
      <c r="I38" s="435" t="n"/>
      <c r="J38" s="657" t="n"/>
      <c r="K38" s="595" t="n"/>
      <c r="L38" s="596" t="n"/>
    </row>
    <row r="39" hidden="1" outlineLevel="1" s="592">
      <c r="A39" s="429" t="n">
        <v>18</v>
      </c>
      <c r="B39" s="430" t="n"/>
      <c r="C39" s="431" t="n"/>
      <c r="D39" s="432" t="n"/>
      <c r="E39" s="432" t="n"/>
      <c r="F39" s="432" t="n"/>
      <c r="G39" s="432" t="n"/>
      <c r="H39" s="435" t="n"/>
      <c r="I39" s="435" t="n"/>
      <c r="J39" s="657" t="n"/>
      <c r="K39" s="595" t="n"/>
      <c r="L39" s="596" t="n"/>
    </row>
    <row r="40" hidden="1" outlineLevel="1" s="592">
      <c r="A40" s="429" t="n">
        <v>19</v>
      </c>
      <c r="B40" s="430" t="n"/>
      <c r="C40" s="431" t="n"/>
      <c r="D40" s="432" t="n"/>
      <c r="E40" s="432" t="n"/>
      <c r="F40" s="432" t="n"/>
      <c r="G40" s="432" t="n"/>
      <c r="H40" s="435" t="n"/>
      <c r="I40" s="435" t="n"/>
      <c r="J40" s="657" t="n"/>
      <c r="K40" s="595" t="n"/>
      <c r="L40" s="596" t="n"/>
    </row>
    <row r="41" hidden="1" outlineLevel="1" s="592">
      <c r="A41" s="429" t="n">
        <v>20</v>
      </c>
      <c r="B41" s="430" t="n"/>
      <c r="C41" s="431" t="n"/>
      <c r="D41" s="432" t="n"/>
      <c r="E41" s="432" t="n"/>
      <c r="F41" s="432" t="n"/>
      <c r="G41" s="432" t="n"/>
      <c r="H41" s="435" t="n"/>
      <c r="I41" s="435" t="n"/>
      <c r="J41" s="657" t="n"/>
      <c r="K41" s="595" t="n"/>
      <c r="L41" s="596" t="n"/>
    </row>
    <row r="42" ht="9" customHeight="1" s="592">
      <c r="A42" s="436" t="n"/>
      <c r="B42" s="436" t="n"/>
      <c r="C42" s="436" t="n"/>
      <c r="D42" s="436" t="n"/>
      <c r="E42" s="436" t="n"/>
      <c r="F42" s="436" t="n"/>
      <c r="G42" s="436" t="n"/>
      <c r="H42" s="436" t="n"/>
      <c r="I42" s="436" t="n"/>
      <c r="J42" s="436" t="n"/>
      <c r="K42" s="436" t="n"/>
      <c r="L42" s="436" t="n"/>
    </row>
    <row r="43">
      <c r="A43" s="129" t="inlineStr">
        <is>
          <t>ตัวชี้วัดความสำเร็จของโครงการ</t>
        </is>
      </c>
      <c r="B43" s="640" t="n"/>
      <c r="C43" s="640" t="n"/>
      <c r="D43" s="121" t="inlineStr">
        <is>
          <t>หน่วยนับ</t>
        </is>
      </c>
      <c r="E43" s="121" t="inlineStr">
        <is>
          <t>แผน
ปี 2570</t>
        </is>
      </c>
      <c r="F43" s="121" t="inlineStr">
        <is>
          <t>ผล
ปี 2570</t>
        </is>
      </c>
      <c r="G43" s="658" t="inlineStr">
        <is>
          <t>เอกสารแนบผลตัวชี้วัด</t>
        </is>
      </c>
      <c r="H43" s="641" t="n"/>
      <c r="I43" s="440" t="inlineStr">
        <is>
          <t>*กรณีไม่สามารถแนบเอกสารได้โปรดระบุเหตุผล</t>
        </is>
      </c>
      <c r="J43" s="441" t="n"/>
      <c r="K43" s="441" t="n"/>
      <c r="L43" s="442" t="n"/>
    </row>
    <row r="44">
      <c r="A44" s="642" t="n"/>
      <c r="B44" s="601" t="n"/>
      <c r="C44" s="601" t="n"/>
      <c r="D44" s="629" t="n"/>
      <c r="E44" s="629" t="n"/>
      <c r="F44" s="629" t="n"/>
      <c r="G44" s="642" t="n"/>
      <c r="H44" s="602" t="n"/>
      <c r="I44" s="443" t="inlineStr">
        <is>
          <t>ค่าเฉลี่ยผลตัวชี้วัด</t>
        </is>
      </c>
      <c r="J44" s="441" t="n"/>
      <c r="K44" s="441" t="n"/>
      <c r="L44" s="442" t="n"/>
    </row>
    <row r="45">
      <c r="A45" s="659" t="inlineStr">
        <is>
          <t xml:space="preserve">เชิงปริมาณ </t>
        </is>
      </c>
      <c r="B45" s="595" t="n"/>
      <c r="C45" s="660" t="n"/>
      <c r="D45" s="445" t="n"/>
      <c r="E45" s="445" t="n"/>
      <c r="F45" s="445" t="n"/>
      <c r="G45" s="661" t="n"/>
      <c r="H45" s="602" t="n"/>
      <c r="I45" s="447">
        <f>AVERAGE(I46:I55,I57:I66)</f>
        <v/>
      </c>
      <c r="J45" s="448" t="n"/>
      <c r="K45" s="448" t="n"/>
      <c r="L45" s="448" t="n"/>
    </row>
    <row r="46">
      <c r="A46" s="662">
        <f>IFERROR(__xludf.DUMMYFUNCTION("QUERY('โครงการ'!C65:J74,""SELECT C WHERE C IS NOT NULL"")"),"#N/A")</f>
        <v/>
      </c>
      <c r="B46" s="595" t="n"/>
      <c r="C46" s="596" t="n"/>
      <c r="D46" s="450">
        <f>IFERROR(__xludf.DUMMYFUNCTION("QUERY('โครงการ'!C65:J74,""SELECT I,J WHERE C IS NOT NULL"")"),"#N/A")</f>
        <v/>
      </c>
      <c r="E46" s="456" t="n"/>
      <c r="F46" s="460" t="n"/>
      <c r="G46" s="663" t="n"/>
      <c r="H46" s="602" t="n"/>
      <c r="I46" s="454">
        <f>IF(A46="","",IF(IFERROR(F46/E46*100,"")&gt;100,100,(F46/E46*100)))</f>
        <v/>
      </c>
      <c r="J46" s="455" t="n"/>
      <c r="K46" s="455" t="n"/>
      <c r="L46" s="455" t="n"/>
    </row>
    <row r="47">
      <c r="A47" s="662" t="n"/>
      <c r="B47" s="595" t="n"/>
      <c r="C47" s="596" t="n"/>
      <c r="D47" s="450" t="n"/>
      <c r="E47" s="456" t="n"/>
      <c r="F47" s="460" t="n"/>
      <c r="G47" s="663" t="n"/>
      <c r="H47" s="602" t="n"/>
      <c r="I47" s="454">
        <f>IF(A47="","",IF(IFERROR(F47/E47*100,"")&gt;100,100,(F47/E47*100)))</f>
        <v/>
      </c>
      <c r="J47" s="455" t="n"/>
      <c r="K47" s="455" t="n"/>
      <c r="L47" s="455" t="n"/>
    </row>
    <row r="48">
      <c r="A48" s="662" t="n"/>
      <c r="B48" s="595" t="n"/>
      <c r="C48" s="596" t="n"/>
      <c r="D48" s="450" t="n"/>
      <c r="E48" s="456" t="n"/>
      <c r="F48" s="460" t="n"/>
      <c r="G48" s="663" t="n"/>
      <c r="H48" s="602" t="n"/>
      <c r="I48" s="454">
        <f>IF(A48="","",IF(IFERROR(F48/E48*100,"")&gt;100,100,(F48/E48*100)))</f>
        <v/>
      </c>
      <c r="J48" s="455" t="n"/>
      <c r="K48" s="455" t="n"/>
      <c r="L48" s="455" t="n"/>
    </row>
    <row r="49">
      <c r="A49" s="662" t="n"/>
      <c r="B49" s="595" t="n"/>
      <c r="C49" s="596" t="n"/>
      <c r="D49" s="450" t="n"/>
      <c r="E49" s="456" t="n"/>
      <c r="F49" s="460" t="n"/>
      <c r="G49" s="663" t="n"/>
      <c r="H49" s="602" t="n"/>
      <c r="I49" s="454">
        <f>IF(A49="","",IF(IFERROR(F49/E49*100,"")&gt;100,100,(F49/E49*100)))</f>
        <v/>
      </c>
      <c r="J49" s="455" t="n"/>
      <c r="K49" s="455" t="n"/>
      <c r="L49" s="455" t="n"/>
    </row>
    <row r="50" collapsed="1" s="592">
      <c r="A50" s="662" t="n"/>
      <c r="B50" s="595" t="n"/>
      <c r="C50" s="596" t="n"/>
      <c r="D50" s="450" t="n"/>
      <c r="E50" s="456" t="n"/>
      <c r="F50" s="460" t="n"/>
      <c r="G50" s="663" t="n"/>
      <c r="H50" s="602" t="n"/>
      <c r="I50" s="454">
        <f>IF(A50="","",IF(IFERROR(F50/E50*100,"")&gt;100,100,(F50/E50*100)))</f>
        <v/>
      </c>
      <c r="J50" s="455" t="n"/>
      <c r="K50" s="455" t="n"/>
      <c r="L50" s="455" t="n"/>
    </row>
    <row r="51" hidden="1" outlineLevel="1" s="592">
      <c r="A51" s="662" t="n"/>
      <c r="B51" s="595" t="n"/>
      <c r="C51" s="596" t="n"/>
      <c r="D51" s="450" t="n"/>
      <c r="E51" s="456" t="n"/>
      <c r="F51" s="460" t="n"/>
      <c r="G51" s="663" t="n"/>
      <c r="H51" s="602" t="n"/>
      <c r="I51" s="454">
        <f>IF(A51="","",IF(IFERROR(F51/E51*100,"")&gt;100,100,(F51/E51*100)))</f>
        <v/>
      </c>
      <c r="J51" s="455" t="n"/>
      <c r="K51" s="455" t="n"/>
      <c r="L51" s="455" t="n"/>
    </row>
    <row r="52" hidden="1" outlineLevel="1" s="592">
      <c r="A52" s="662" t="n"/>
      <c r="B52" s="595" t="n"/>
      <c r="C52" s="596" t="n"/>
      <c r="D52" s="450" t="n"/>
      <c r="E52" s="456" t="n"/>
      <c r="F52" s="460" t="n"/>
      <c r="G52" s="663" t="n"/>
      <c r="H52" s="602" t="n"/>
      <c r="I52" s="454">
        <f>IF(A52="","",IF(IFERROR(F52/E52*100,"")&gt;100,100,(F52/E52*100)))</f>
        <v/>
      </c>
      <c r="J52" s="455" t="n"/>
      <c r="K52" s="455" t="n"/>
      <c r="L52" s="455" t="n"/>
    </row>
    <row r="53" hidden="1" outlineLevel="1" s="592">
      <c r="A53" s="662" t="n"/>
      <c r="B53" s="595" t="n"/>
      <c r="C53" s="596" t="n"/>
      <c r="D53" s="450" t="n"/>
      <c r="E53" s="456" t="n"/>
      <c r="F53" s="460" t="n"/>
      <c r="G53" s="663" t="n"/>
      <c r="H53" s="602" t="n"/>
      <c r="I53" s="454">
        <f>IF(A53="","",IF(IFERROR(F53/E53*100,"")&gt;100,100,(F53/E53*100)))</f>
        <v/>
      </c>
      <c r="J53" s="455" t="n"/>
      <c r="K53" s="455" t="n"/>
      <c r="L53" s="455" t="n"/>
    </row>
    <row r="54" hidden="1" outlineLevel="1" s="592">
      <c r="A54" s="662" t="n"/>
      <c r="B54" s="595" t="n"/>
      <c r="C54" s="596" t="n"/>
      <c r="D54" s="450" t="n"/>
      <c r="E54" s="456" t="n"/>
      <c r="F54" s="460" t="n"/>
      <c r="G54" s="663" t="n"/>
      <c r="H54" s="602" t="n"/>
      <c r="I54" s="454">
        <f>IF(A54="","",IF(IFERROR(F54/E54*100,"")&gt;100,100,(F54/E54*100)))</f>
        <v/>
      </c>
      <c r="J54" s="455" t="n"/>
      <c r="K54" s="455" t="n"/>
      <c r="L54" s="455" t="n"/>
    </row>
    <row r="55" hidden="1" outlineLevel="1" s="592">
      <c r="A55" s="662" t="n"/>
      <c r="B55" s="595" t="n"/>
      <c r="C55" s="596" t="n"/>
      <c r="D55" s="450" t="n"/>
      <c r="E55" s="456" t="n"/>
      <c r="F55" s="460" t="n"/>
      <c r="G55" s="663" t="n"/>
      <c r="H55" s="602" t="n"/>
      <c r="I55" s="454">
        <f>IF(A55="","",IF(IFERROR(F55/E55*100,"")&gt;100,100,(F55/E55*100)))</f>
        <v/>
      </c>
      <c r="J55" s="455" t="n"/>
      <c r="K55" s="455" t="n"/>
      <c r="L55" s="455" t="n"/>
    </row>
    <row r="56">
      <c r="A56" s="659" t="inlineStr">
        <is>
          <t xml:space="preserve">เชิงคุณภาพ </t>
        </is>
      </c>
      <c r="B56" s="595" t="n"/>
      <c r="C56" s="660" t="n"/>
      <c r="D56" s="445" t="n"/>
      <c r="E56" s="457" t="n"/>
      <c r="F56" s="457" t="n"/>
      <c r="G56" s="661" t="n"/>
      <c r="H56" s="602" t="n"/>
      <c r="I56" s="447" t="n"/>
      <c r="J56" s="455" t="n"/>
      <c r="K56" s="458" t="n"/>
      <c r="L56" s="458" t="n"/>
    </row>
    <row r="57">
      <c r="A57" s="662">
        <f>IFERROR(__xludf.DUMMYFUNCTION("QUERY('โครงการ'!C76:J85,""SELECT C WHERE C IS NOT NULL"")"),"#N/A")</f>
        <v/>
      </c>
      <c r="B57" s="595" t="n"/>
      <c r="C57" s="596" t="n"/>
      <c r="D57" s="450">
        <f>IFERROR(__xludf.DUMMYFUNCTION("QUERY('โครงการ'!C76:J85,""SELECT I,J WHERE C IS NOT NULL"")"),"#N/A")</f>
        <v/>
      </c>
      <c r="E57" s="456" t="n"/>
      <c r="F57" s="460" t="n"/>
      <c r="G57" s="663" t="n"/>
      <c r="H57" s="602" t="n"/>
      <c r="I57" s="454">
        <f>IF(A57="","",IF(IFERROR(F57/E57*100,"")&gt;100,100,(F57/E57*100)))</f>
        <v/>
      </c>
      <c r="J57" s="455" t="n"/>
      <c r="K57" s="455" t="n"/>
      <c r="L57" s="455" t="n"/>
    </row>
    <row r="58">
      <c r="A58" s="662" t="n"/>
      <c r="B58" s="595" t="n"/>
      <c r="C58" s="596" t="n"/>
      <c r="D58" s="450" t="n"/>
      <c r="E58" s="456" t="n"/>
      <c r="F58" s="460" t="n"/>
      <c r="G58" s="663" t="n"/>
      <c r="H58" s="602" t="n"/>
      <c r="I58" s="454">
        <f>IF(A58="","",IF(IFERROR(F58/E58*100,"")&gt;100,100,(F58/E58*100)))</f>
        <v/>
      </c>
      <c r="J58" s="455" t="n"/>
      <c r="K58" s="455" t="n"/>
      <c r="L58" s="455" t="n"/>
    </row>
    <row r="59">
      <c r="A59" s="662" t="n"/>
      <c r="B59" s="595" t="n"/>
      <c r="C59" s="596" t="n"/>
      <c r="D59" s="450" t="n"/>
      <c r="E59" s="456" t="n"/>
      <c r="F59" s="460" t="n"/>
      <c r="G59" s="663" t="n"/>
      <c r="H59" s="602" t="n"/>
      <c r="I59" s="454">
        <f>IF(A59="","",IF(IFERROR(F59/E59*100,"")&gt;100,100,(F59/E59*100)))</f>
        <v/>
      </c>
      <c r="J59" s="455" t="n"/>
      <c r="K59" s="455" t="n"/>
      <c r="L59" s="455" t="n"/>
    </row>
    <row r="60">
      <c r="A60" s="662" t="n"/>
      <c r="B60" s="595" t="n"/>
      <c r="C60" s="596" t="n"/>
      <c r="D60" s="450" t="n"/>
      <c r="E60" s="456" t="n"/>
      <c r="F60" s="460" t="n"/>
      <c r="G60" s="663" t="n"/>
      <c r="H60" s="602" t="n"/>
      <c r="I60" s="454">
        <f>IF(A60="","",IF(IFERROR(F60/E60*100,"")&gt;100,100,(F60/E60*100)))</f>
        <v/>
      </c>
      <c r="J60" s="455" t="n"/>
      <c r="K60" s="455" t="n"/>
      <c r="L60" s="455" t="n"/>
    </row>
    <row r="61" collapsed="1" s="592">
      <c r="A61" s="662" t="n"/>
      <c r="B61" s="595" t="n"/>
      <c r="C61" s="596" t="n"/>
      <c r="D61" s="450" t="n"/>
      <c r="E61" s="456" t="n"/>
      <c r="F61" s="460" t="n"/>
      <c r="G61" s="663" t="n"/>
      <c r="H61" s="602" t="n"/>
      <c r="I61" s="454">
        <f>IF(A61="","",IF(IFERROR(F61/E61*100,"")&gt;100,100,(F61/E61*100)))</f>
        <v/>
      </c>
      <c r="J61" s="455" t="n"/>
      <c r="K61" s="455" t="n"/>
      <c r="L61" s="455" t="n"/>
    </row>
    <row r="62" hidden="1" outlineLevel="1" s="592">
      <c r="A62" s="662" t="n"/>
      <c r="B62" s="595" t="n"/>
      <c r="C62" s="596" t="n"/>
      <c r="D62" s="450" t="n"/>
      <c r="E62" s="456" t="n"/>
      <c r="F62" s="460" t="n"/>
      <c r="G62" s="663" t="n"/>
      <c r="H62" s="602" t="n"/>
      <c r="I62" s="454">
        <f>IF(A62="","",IF(IFERROR(F62/E62*100,"")&gt;100,100,(F62/E62*100)))</f>
        <v/>
      </c>
      <c r="J62" s="455" t="n"/>
      <c r="K62" s="455" t="n"/>
      <c r="L62" s="455" t="n"/>
    </row>
    <row r="63" hidden="1" outlineLevel="1" s="592">
      <c r="A63" s="662" t="n"/>
      <c r="B63" s="595" t="n"/>
      <c r="C63" s="596" t="n"/>
      <c r="D63" s="450" t="n"/>
      <c r="E63" s="456" t="n"/>
      <c r="F63" s="460" t="n"/>
      <c r="G63" s="663" t="n"/>
      <c r="H63" s="602" t="n"/>
      <c r="I63" s="454">
        <f>IF(A63="","",IF(IFERROR(F63/E63*100,"")&gt;100,100,(F63/E63*100)))</f>
        <v/>
      </c>
      <c r="J63" s="455" t="n"/>
      <c r="K63" s="455" t="n"/>
      <c r="L63" s="455" t="n"/>
    </row>
    <row r="64" hidden="1" outlineLevel="1" s="592">
      <c r="A64" s="662" t="n"/>
      <c r="B64" s="595" t="n"/>
      <c r="C64" s="596" t="n"/>
      <c r="D64" s="450" t="n"/>
      <c r="E64" s="456" t="n"/>
      <c r="F64" s="460" t="n"/>
      <c r="G64" s="663" t="n"/>
      <c r="H64" s="602" t="n"/>
      <c r="I64" s="454">
        <f>IF(A64="","",IF(IFERROR(F64/E64*100,"")&gt;100,100,(F64/E64*100)))</f>
        <v/>
      </c>
      <c r="J64" s="455" t="n"/>
      <c r="K64" s="455" t="n"/>
      <c r="L64" s="455" t="n"/>
    </row>
    <row r="65" hidden="1" outlineLevel="1" s="592">
      <c r="A65" s="662" t="n"/>
      <c r="B65" s="595" t="n"/>
      <c r="C65" s="596" t="n"/>
      <c r="D65" s="450" t="n"/>
      <c r="E65" s="456" t="n"/>
      <c r="F65" s="460" t="n"/>
      <c r="G65" s="663" t="n"/>
      <c r="H65" s="602" t="n"/>
      <c r="I65" s="454">
        <f>IF(A65="","",IF(IFERROR(F65/E65*100,"")&gt;100,100,(F65/E65*100)))</f>
        <v/>
      </c>
      <c r="J65" s="455" t="n"/>
      <c r="K65" s="455" t="n"/>
      <c r="L65" s="455" t="n"/>
    </row>
    <row r="66" hidden="1" outlineLevel="1" s="592">
      <c r="A66" s="662" t="n"/>
      <c r="B66" s="595" t="n"/>
      <c r="C66" s="596" t="n"/>
      <c r="D66" s="450" t="n"/>
      <c r="E66" s="456" t="n"/>
      <c r="F66" s="460" t="n"/>
      <c r="G66" s="663" t="n"/>
      <c r="H66" s="602" t="n"/>
      <c r="I66" s="454">
        <f>IF(A66="","",IF(IFERROR(F66/E66*100,"")&gt;100,100,(F66/E66*100)))</f>
        <v/>
      </c>
      <c r="J66" s="455" t="n"/>
      <c r="K66" s="455" t="n"/>
      <c r="L66" s="455" t="n"/>
    </row>
    <row r="67" ht="9" customHeight="1" s="592">
      <c r="A67" s="436" t="n"/>
      <c r="B67" s="436" t="n"/>
      <c r="C67" s="436" t="n"/>
      <c r="D67" s="436" t="n"/>
      <c r="E67" s="436" t="n"/>
      <c r="F67" s="436" t="n"/>
      <c r="G67" s="436" t="n"/>
      <c r="H67" s="436" t="n"/>
      <c r="I67" s="436" t="n"/>
      <c r="J67" s="436" t="n"/>
      <c r="K67" s="436" t="n"/>
      <c r="L67" s="436" t="n"/>
    </row>
    <row r="68">
      <c r="A68" s="664" t="inlineStr">
        <is>
          <t xml:space="preserve">คำอธิบายตัวชี้วัดความสำเร็จของโครงการ                       </t>
        </is>
      </c>
      <c r="B68" s="595" t="n"/>
      <c r="C68" s="595" t="n"/>
      <c r="D68" s="595" t="n"/>
      <c r="E68" s="595" t="n"/>
      <c r="F68" s="595" t="n"/>
      <c r="G68" s="595" t="n"/>
      <c r="H68" s="595" t="n"/>
      <c r="I68" s="595" t="n"/>
      <c r="J68" s="595" t="n"/>
      <c r="K68" s="595" t="n"/>
      <c r="L68" s="596" t="n"/>
    </row>
    <row r="69">
      <c r="A69" s="665" t="inlineStr">
        <is>
          <t xml:space="preserve">เชิงปริมาณ </t>
        </is>
      </c>
      <c r="B69" s="595" t="n"/>
      <c r="C69" s="595" t="n"/>
      <c r="D69" s="595" t="n"/>
      <c r="E69" s="595" t="n"/>
      <c r="F69" s="595" t="n"/>
      <c r="G69" s="595" t="n"/>
      <c r="H69" s="595" t="n"/>
      <c r="I69" s="595" t="n"/>
      <c r="J69" s="595" t="n"/>
      <c r="K69" s="595" t="n"/>
      <c r="L69" s="596" t="n"/>
    </row>
    <row r="70" ht="75" customHeight="1" s="592">
      <c r="A70" s="613" t="n"/>
      <c r="B70" s="595" t="n"/>
      <c r="C70" s="595" t="n"/>
      <c r="D70" s="595" t="n"/>
      <c r="E70" s="595" t="n"/>
      <c r="F70" s="595" t="n"/>
      <c r="G70" s="595" t="n"/>
      <c r="H70" s="595" t="n"/>
      <c r="I70" s="595" t="n"/>
      <c r="J70" s="595" t="n"/>
      <c r="K70" s="595" t="n"/>
      <c r="L70" s="596" t="n"/>
    </row>
    <row r="71">
      <c r="A71" s="665" t="inlineStr">
        <is>
          <t>เชิงคุณภาพ</t>
        </is>
      </c>
      <c r="B71" s="595" t="n"/>
      <c r="C71" s="595" t="n"/>
      <c r="D71" s="595" t="n"/>
      <c r="E71" s="595" t="n"/>
      <c r="F71" s="595" t="n"/>
      <c r="G71" s="595" t="n"/>
      <c r="H71" s="595" t="n"/>
      <c r="I71" s="595" t="n"/>
      <c r="J71" s="595" t="n"/>
      <c r="K71" s="595" t="n"/>
      <c r="L71" s="596" t="n"/>
    </row>
    <row r="72" ht="75" customHeight="1" s="592">
      <c r="A72" s="613" t="n"/>
      <c r="B72" s="595" t="n"/>
      <c r="C72" s="595" t="n"/>
      <c r="D72" s="595" t="n"/>
      <c r="E72" s="595" t="n"/>
      <c r="F72" s="595" t="n"/>
      <c r="G72" s="595" t="n"/>
      <c r="H72" s="595" t="n"/>
      <c r="I72" s="595" t="n"/>
      <c r="J72" s="595" t="n"/>
      <c r="K72" s="595" t="n"/>
      <c r="L72" s="596" t="n"/>
    </row>
    <row r="73">
      <c r="A73" s="666" t="inlineStr">
        <is>
          <t>ความเชื่อมโยงของโครงการ</t>
        </is>
      </c>
      <c r="B73" s="595" t="n"/>
      <c r="C73" s="596" t="n"/>
      <c r="D73" s="666" t="inlineStr">
        <is>
          <t>อธิบายผลการดำเนินงานตามความเชื่อมโยงของโครงการ</t>
        </is>
      </c>
      <c r="E73" s="595" t="n"/>
      <c r="F73" s="595" t="n"/>
      <c r="G73" s="595" t="n"/>
      <c r="H73" s="595" t="n"/>
      <c r="I73" s="595" t="n"/>
      <c r="J73" s="595" t="n"/>
      <c r="K73" s="595" t="n"/>
      <c r="L73" s="596" t="n"/>
    </row>
    <row r="74">
      <c r="A74" s="667">
        <f>IF('โครงการ'!D13="","",""&amp;'โครงการ'!D13)</f>
        <v/>
      </c>
      <c r="B74" s="595" t="n"/>
      <c r="C74" s="596" t="n"/>
      <c r="D74" s="668" t="n"/>
      <c r="E74" s="595" t="n"/>
      <c r="F74" s="595" t="n"/>
      <c r="G74" s="595" t="n"/>
      <c r="H74" s="595" t="n"/>
      <c r="I74" s="595" t="n"/>
      <c r="J74" s="595" t="n"/>
      <c r="K74" s="595" t="n"/>
      <c r="L74" s="596" t="n"/>
    </row>
    <row r="75">
      <c r="A75" s="667">
        <f>IF('โครงการ'!D14="","","ตัวชี้วัดตามแผนพัฒนาฯ "&amp;'โครงการ'!D14)</f>
        <v/>
      </c>
      <c r="B75" s="595" t="n"/>
      <c r="C75" s="596" t="n"/>
      <c r="D75" s="668" t="n"/>
      <c r="E75" s="595" t="n"/>
      <c r="F75" s="595" t="n"/>
      <c r="G75" s="595" t="n"/>
      <c r="H75" s="595" t="n"/>
      <c r="I75" s="595" t="n"/>
      <c r="J75" s="595" t="n"/>
      <c r="K75" s="595" t="n"/>
      <c r="L75" s="596" t="n"/>
    </row>
    <row r="76">
      <c r="A76" s="667">
        <f>IF('โครงการ'!D19="","","ความเสี่ยงด้าน "&amp;'โครงการ'!D19)</f>
        <v/>
      </c>
      <c r="B76" s="595" t="n"/>
      <c r="C76" s="596" t="n"/>
      <c r="D76" s="668" t="n"/>
      <c r="E76" s="595" t="n"/>
      <c r="F76" s="595" t="n"/>
      <c r="G76" s="595" t="n"/>
      <c r="H76" s="595" t="n"/>
      <c r="I76" s="595" t="n"/>
      <c r="J76" s="595" t="n"/>
      <c r="K76" s="595" t="n"/>
      <c r="L76" s="596" t="n"/>
    </row>
    <row r="77">
      <c r="A77" s="667">
        <f>IF('โครงการ'!D20="","","ค่านิยมองค์กร "&amp;'โครงการ'!D20)</f>
        <v/>
      </c>
      <c r="B77" s="595" t="n"/>
      <c r="C77" s="596" t="n"/>
      <c r="D77" s="668" t="n"/>
      <c r="E77" s="595" t="n"/>
      <c r="F77" s="595" t="n"/>
      <c r="G77" s="595" t="n"/>
      <c r="H77" s="595" t="n"/>
      <c r="I77" s="595" t="n"/>
      <c r="J77" s="595" t="n"/>
      <c r="K77" s="595" t="n"/>
      <c r="L77" s="596" t="n"/>
    </row>
    <row r="78">
      <c r="A78" s="667">
        <f>IF('โครงการ'!D21="","","เป้าหมายการพัฒนาที่ยั่งยืนด้าน "&amp;'โครงการ'!D21)</f>
        <v/>
      </c>
      <c r="B78" s="595" t="n"/>
      <c r="C78" s="596" t="n"/>
      <c r="D78" s="668" t="n"/>
      <c r="E78" s="595" t="n"/>
      <c r="F78" s="595" t="n"/>
      <c r="G78" s="595" t="n"/>
      <c r="H78" s="595" t="n"/>
      <c r="I78" s="595" t="n"/>
      <c r="J78" s="595" t="n"/>
      <c r="K78" s="595" t="n"/>
      <c r="L78" s="596" t="n"/>
    </row>
    <row r="79">
      <c r="A79" s="667">
        <f>IF('โครงการ'!D22="","","แผนปฏิบัติการป้องกันการทุจริตด้าน "&amp;'โครงการ'!D22)</f>
        <v/>
      </c>
      <c r="B79" s="595" t="n"/>
      <c r="C79" s="596" t="n"/>
      <c r="D79" s="668" t="n"/>
      <c r="E79" s="595" t="n"/>
      <c r="F79" s="595" t="n"/>
      <c r="G79" s="595" t="n"/>
      <c r="H79" s="595" t="n"/>
      <c r="I79" s="595" t="n"/>
      <c r="J79" s="595" t="n"/>
      <c r="K79" s="595" t="n"/>
      <c r="L79" s="596" t="n"/>
    </row>
    <row r="80">
      <c r="A80" s="667">
        <f>IF('โครงการ'!D23="","","แผนพัฒนาของหน่วยงาน "&amp;'โครงการ'!D23)</f>
        <v/>
      </c>
      <c r="B80" s="595" t="n"/>
      <c r="C80" s="596" t="n"/>
      <c r="D80" s="668" t="n"/>
      <c r="E80" s="595" t="n"/>
      <c r="F80" s="595" t="n"/>
      <c r="G80" s="595" t="n"/>
      <c r="H80" s="595" t="n"/>
      <c r="I80" s="595" t="n"/>
      <c r="J80" s="595" t="n"/>
      <c r="K80" s="595" t="n"/>
      <c r="L80" s="596" t="n"/>
    </row>
    <row r="81">
      <c r="A81" s="667">
        <f>IF('โครงการ'!D24="","","แผนอื่น ๆ "&amp;'โครงการ'!D24)</f>
        <v/>
      </c>
      <c r="B81" s="595" t="n"/>
      <c r="C81" s="596" t="n"/>
      <c r="D81" s="668" t="n"/>
      <c r="E81" s="595" t="n"/>
      <c r="F81" s="595" t="n"/>
      <c r="G81" s="595" t="n"/>
      <c r="H81" s="595" t="n"/>
      <c r="I81" s="595" t="n"/>
      <c r="J81" s="595" t="n"/>
      <c r="K81" s="595" t="n"/>
      <c r="L81" s="596" t="n"/>
    </row>
    <row r="82">
      <c r="A82" s="666" t="inlineStr">
        <is>
          <t>วัตถุประสงค์ของโครงการ</t>
        </is>
      </c>
      <c r="B82" s="595" t="n"/>
      <c r="C82" s="596" t="n"/>
      <c r="D82" s="666" t="inlineStr">
        <is>
          <t>อธิบายผลการดำเนินงานตามวัตถประสงค์ของโครงการ</t>
        </is>
      </c>
      <c r="E82" s="595" t="n"/>
      <c r="F82" s="595" t="n"/>
      <c r="G82" s="595" t="n"/>
      <c r="H82" s="595" t="n"/>
      <c r="I82" s="595" t="n"/>
      <c r="J82" s="595" t="n"/>
      <c r="K82" s="595" t="n"/>
      <c r="L82" s="596" t="n"/>
    </row>
    <row r="83">
      <c r="A83" s="669">
        <f>IFERROR(__xludf.DUMMYFUNCTION("IFERROR(QUERY('โครงการ'!C39:J48,""SELECT C WHERE C is not null""))"),"")</f>
        <v/>
      </c>
      <c r="B83" s="595" t="n"/>
      <c r="C83" s="596" t="n"/>
      <c r="D83" s="668" t="n"/>
      <c r="E83" s="595" t="n"/>
      <c r="F83" s="595" t="n"/>
      <c r="G83" s="595" t="n"/>
      <c r="H83" s="595" t="n"/>
      <c r="I83" s="595" t="n"/>
      <c r="J83" s="595" t="n"/>
      <c r="K83" s="595" t="n"/>
      <c r="L83" s="596" t="n"/>
    </row>
    <row r="84">
      <c r="A84" s="669" t="n"/>
      <c r="B84" s="595" t="n"/>
      <c r="C84" s="596" t="n"/>
      <c r="D84" s="668" t="n"/>
      <c r="E84" s="595" t="n"/>
      <c r="F84" s="595" t="n"/>
      <c r="G84" s="595" t="n"/>
      <c r="H84" s="595" t="n"/>
      <c r="I84" s="595" t="n"/>
      <c r="J84" s="595" t="n"/>
      <c r="K84" s="595" t="n"/>
      <c r="L84" s="596" t="n"/>
    </row>
    <row r="85">
      <c r="A85" s="669" t="n"/>
      <c r="B85" s="595" t="n"/>
      <c r="C85" s="596" t="n"/>
      <c r="D85" s="668" t="n"/>
      <c r="E85" s="595" t="n"/>
      <c r="F85" s="595" t="n"/>
      <c r="G85" s="595" t="n"/>
      <c r="H85" s="595" t="n"/>
      <c r="I85" s="595" t="n"/>
      <c r="J85" s="595" t="n"/>
      <c r="K85" s="595" t="n"/>
      <c r="L85" s="596" t="n"/>
    </row>
    <row r="86">
      <c r="A86" s="669" t="n"/>
      <c r="B86" s="595" t="n"/>
      <c r="C86" s="596" t="n"/>
      <c r="D86" s="668" t="n"/>
      <c r="E86" s="595" t="n"/>
      <c r="F86" s="595" t="n"/>
      <c r="G86" s="595" t="n"/>
      <c r="H86" s="595" t="n"/>
      <c r="I86" s="595" t="n"/>
      <c r="J86" s="595" t="n"/>
      <c r="K86" s="595" t="n"/>
      <c r="L86" s="596" t="n"/>
    </row>
    <row r="87" collapsed="1" s="592">
      <c r="A87" s="669" t="n"/>
      <c r="B87" s="595" t="n"/>
      <c r="C87" s="596" t="n"/>
      <c r="D87" s="668" t="n"/>
      <c r="E87" s="595" t="n"/>
      <c r="F87" s="595" t="n"/>
      <c r="G87" s="595" t="n"/>
      <c r="H87" s="595" t="n"/>
      <c r="I87" s="595" t="n"/>
      <c r="J87" s="595" t="n"/>
      <c r="K87" s="595" t="n"/>
      <c r="L87" s="596" t="n"/>
    </row>
    <row r="88" hidden="1" outlineLevel="1" s="592">
      <c r="A88" s="669" t="n"/>
      <c r="B88" s="595" t="n"/>
      <c r="C88" s="596" t="n"/>
      <c r="D88" s="668" t="n"/>
      <c r="E88" s="595" t="n"/>
      <c r="F88" s="595" t="n"/>
      <c r="G88" s="595" t="n"/>
      <c r="H88" s="595" t="n"/>
      <c r="I88" s="595" t="n"/>
      <c r="J88" s="595" t="n"/>
      <c r="K88" s="595" t="n"/>
      <c r="L88" s="596" t="n"/>
    </row>
    <row r="89" hidden="1" outlineLevel="1" s="592">
      <c r="A89" s="669" t="n"/>
      <c r="B89" s="595" t="n"/>
      <c r="C89" s="596" t="n"/>
      <c r="D89" s="668" t="n"/>
      <c r="E89" s="595" t="n"/>
      <c r="F89" s="595" t="n"/>
      <c r="G89" s="595" t="n"/>
      <c r="H89" s="595" t="n"/>
      <c r="I89" s="595" t="n"/>
      <c r="J89" s="595" t="n"/>
      <c r="K89" s="595" t="n"/>
      <c r="L89" s="596" t="n"/>
    </row>
    <row r="90" hidden="1" outlineLevel="1" s="592">
      <c r="A90" s="669" t="n"/>
      <c r="B90" s="595" t="n"/>
      <c r="C90" s="596" t="n"/>
      <c r="D90" s="668" t="n"/>
      <c r="E90" s="595" t="n"/>
      <c r="F90" s="595" t="n"/>
      <c r="G90" s="595" t="n"/>
      <c r="H90" s="595" t="n"/>
      <c r="I90" s="595" t="n"/>
      <c r="J90" s="595" t="n"/>
      <c r="K90" s="595" t="n"/>
      <c r="L90" s="596" t="n"/>
    </row>
    <row r="91" hidden="1" outlineLevel="1" s="592">
      <c r="A91" s="669" t="n"/>
      <c r="B91" s="595" t="n"/>
      <c r="C91" s="596" t="n"/>
      <c r="D91" s="668" t="n"/>
      <c r="E91" s="595" t="n"/>
      <c r="F91" s="595" t="n"/>
      <c r="G91" s="595" t="n"/>
      <c r="H91" s="595" t="n"/>
      <c r="I91" s="595" t="n"/>
      <c r="J91" s="595" t="n"/>
      <c r="K91" s="595" t="n"/>
      <c r="L91" s="596" t="n"/>
    </row>
    <row r="92" hidden="1" outlineLevel="1" s="592">
      <c r="A92" s="669" t="n"/>
      <c r="B92" s="595" t="n"/>
      <c r="C92" s="596" t="n"/>
      <c r="D92" s="668" t="n"/>
      <c r="E92" s="595" t="n"/>
      <c r="F92" s="595" t="n"/>
      <c r="G92" s="595" t="n"/>
      <c r="H92" s="595" t="n"/>
      <c r="I92" s="595" t="n"/>
      <c r="J92" s="595" t="n"/>
      <c r="K92" s="595" t="n"/>
      <c r="L92" s="596" t="n"/>
    </row>
    <row r="93">
      <c r="A93" s="666" t="inlineStr">
        <is>
          <t>ผลที่คาดว่าที่จะได้รับ</t>
        </is>
      </c>
      <c r="B93" s="595" t="n"/>
      <c r="C93" s="596" t="n"/>
      <c r="D93" s="666" t="inlineStr">
        <is>
          <t>อธิบายผลการดำเนินงานตามผลที่คาดว่าจะได้รับของโครงการ</t>
        </is>
      </c>
      <c r="E93" s="595" t="n"/>
      <c r="F93" s="595" t="n"/>
      <c r="G93" s="595" t="n"/>
      <c r="H93" s="595" t="n"/>
      <c r="I93" s="595" t="n"/>
      <c r="J93" s="595" t="n"/>
      <c r="K93" s="595" t="n"/>
      <c r="L93" s="596" t="n"/>
    </row>
    <row r="94">
      <c r="A94" s="670">
        <f>IFERROR(__xludf.DUMMYFUNCTION("IFERROR(QUERY('โครงการ'!C88:J97,""SELECT C WHERE C is not null""))"),"")</f>
        <v/>
      </c>
      <c r="B94" s="595" t="n"/>
      <c r="C94" s="596" t="n"/>
      <c r="D94" s="671" t="n"/>
      <c r="E94" s="595" t="n"/>
      <c r="F94" s="595" t="n"/>
      <c r="G94" s="595" t="n"/>
      <c r="H94" s="595" t="n"/>
      <c r="I94" s="595" t="n"/>
      <c r="J94" s="595" t="n"/>
      <c r="K94" s="595" t="n"/>
      <c r="L94" s="596" t="n"/>
    </row>
    <row r="95">
      <c r="A95" s="670" t="n"/>
      <c r="B95" s="595" t="n"/>
      <c r="C95" s="596" t="n"/>
      <c r="D95" s="671" t="n"/>
      <c r="E95" s="595" t="n"/>
      <c r="F95" s="595" t="n"/>
      <c r="G95" s="595" t="n"/>
      <c r="H95" s="595" t="n"/>
      <c r="I95" s="595" t="n"/>
      <c r="J95" s="595" t="n"/>
      <c r="K95" s="595" t="n"/>
      <c r="L95" s="596" t="n"/>
    </row>
    <row r="96">
      <c r="A96" s="670" t="n"/>
      <c r="B96" s="595" t="n"/>
      <c r="C96" s="596" t="n"/>
      <c r="D96" s="671" t="n"/>
      <c r="E96" s="595" t="n"/>
      <c r="F96" s="595" t="n"/>
      <c r="G96" s="595" t="n"/>
      <c r="H96" s="595" t="n"/>
      <c r="I96" s="595" t="n"/>
      <c r="J96" s="595" t="n"/>
      <c r="K96" s="595" t="n"/>
      <c r="L96" s="596" t="n"/>
    </row>
    <row r="97">
      <c r="A97" s="670" t="n"/>
      <c r="B97" s="595" t="n"/>
      <c r="C97" s="596" t="n"/>
      <c r="D97" s="671" t="n"/>
      <c r="E97" s="595" t="n"/>
      <c r="F97" s="595" t="n"/>
      <c r="G97" s="595" t="n"/>
      <c r="H97" s="595" t="n"/>
      <c r="I97" s="595" t="n"/>
      <c r="J97" s="595" t="n"/>
      <c r="K97" s="595" t="n"/>
      <c r="L97" s="596" t="n"/>
    </row>
    <row r="98" collapsed="1" s="592">
      <c r="A98" s="670" t="n"/>
      <c r="B98" s="595" t="n"/>
      <c r="C98" s="596" t="n"/>
      <c r="D98" s="671" t="n"/>
      <c r="E98" s="595" t="n"/>
      <c r="F98" s="595" t="n"/>
      <c r="G98" s="595" t="n"/>
      <c r="H98" s="595" t="n"/>
      <c r="I98" s="595" t="n"/>
      <c r="J98" s="595" t="n"/>
      <c r="K98" s="595" t="n"/>
      <c r="L98" s="596" t="n"/>
    </row>
    <row r="99" hidden="1" outlineLevel="1" s="592">
      <c r="A99" s="670" t="n"/>
      <c r="B99" s="595" t="n"/>
      <c r="C99" s="596" t="n"/>
      <c r="D99" s="671" t="n"/>
      <c r="E99" s="595" t="n"/>
      <c r="F99" s="595" t="n"/>
      <c r="G99" s="595" t="n"/>
      <c r="H99" s="595" t="n"/>
      <c r="I99" s="595" t="n"/>
      <c r="J99" s="595" t="n"/>
      <c r="K99" s="595" t="n"/>
      <c r="L99" s="596" t="n"/>
    </row>
    <row r="100" hidden="1" outlineLevel="1" s="592">
      <c r="A100" s="670" t="n"/>
      <c r="B100" s="595" t="n"/>
      <c r="C100" s="596" t="n"/>
      <c r="D100" s="671" t="n"/>
      <c r="E100" s="595" t="n"/>
      <c r="F100" s="595" t="n"/>
      <c r="G100" s="595" t="n"/>
      <c r="H100" s="595" t="n"/>
      <c r="I100" s="595" t="n"/>
      <c r="J100" s="595" t="n"/>
      <c r="K100" s="595" t="n"/>
      <c r="L100" s="596" t="n"/>
    </row>
    <row r="101" hidden="1" outlineLevel="1" s="592">
      <c r="A101" s="670" t="n"/>
      <c r="B101" s="595" t="n"/>
      <c r="C101" s="596" t="n"/>
      <c r="D101" s="671" t="n"/>
      <c r="E101" s="595" t="n"/>
      <c r="F101" s="595" t="n"/>
      <c r="G101" s="595" t="n"/>
      <c r="H101" s="595" t="n"/>
      <c r="I101" s="595" t="n"/>
      <c r="J101" s="595" t="n"/>
      <c r="K101" s="595" t="n"/>
      <c r="L101" s="596" t="n"/>
    </row>
    <row r="102" hidden="1" outlineLevel="1" s="592">
      <c r="A102" s="670" t="n"/>
      <c r="B102" s="595" t="n"/>
      <c r="C102" s="596" t="n"/>
      <c r="D102" s="671" t="n"/>
      <c r="E102" s="595" t="n"/>
      <c r="F102" s="595" t="n"/>
      <c r="G102" s="595" t="n"/>
      <c r="H102" s="595" t="n"/>
      <c r="I102" s="595" t="n"/>
      <c r="J102" s="595" t="n"/>
      <c r="K102" s="595" t="n"/>
      <c r="L102" s="596" t="n"/>
    </row>
    <row r="103" hidden="1" outlineLevel="1" s="592">
      <c r="A103" s="670" t="n"/>
      <c r="B103" s="595" t="n"/>
      <c r="C103" s="596" t="n"/>
      <c r="D103" s="671" t="n"/>
      <c r="E103" s="595" t="n"/>
      <c r="F103" s="595" t="n"/>
      <c r="G103" s="595" t="n"/>
      <c r="H103" s="595" t="n"/>
      <c r="I103" s="595" t="n"/>
      <c r="J103" s="595" t="n"/>
      <c r="K103" s="595" t="n"/>
      <c r="L103" s="596" t="n"/>
    </row>
    <row r="104">
      <c r="A104" s="666" t="inlineStr">
        <is>
          <t>ปัญหาและอุปสรรค</t>
        </is>
      </c>
      <c r="B104" s="595" t="n"/>
      <c r="C104" s="596" t="n"/>
      <c r="D104" s="666" t="inlineStr">
        <is>
          <t>แนวทางการแก้ไขปัญหา</t>
        </is>
      </c>
      <c r="E104" s="595" t="n"/>
      <c r="F104" s="595" t="n"/>
      <c r="G104" s="595" t="n"/>
      <c r="H104" s="595" t="n"/>
      <c r="I104" s="595" t="n"/>
      <c r="J104" s="595" t="n"/>
      <c r="K104" s="595" t="n"/>
      <c r="L104" s="596" t="n"/>
    </row>
    <row r="105">
      <c r="A105" s="670" t="n"/>
      <c r="B105" s="595" t="n"/>
      <c r="C105" s="596" t="n"/>
      <c r="D105" s="671" t="n"/>
      <c r="E105" s="595" t="n"/>
      <c r="F105" s="595" t="n"/>
      <c r="G105" s="595" t="n"/>
      <c r="H105" s="595" t="n"/>
      <c r="I105" s="595" t="n"/>
      <c r="J105" s="595" t="n"/>
      <c r="K105" s="595" t="n"/>
      <c r="L105" s="596" t="n"/>
    </row>
    <row r="106">
      <c r="A106" s="670" t="n"/>
      <c r="B106" s="595" t="n"/>
      <c r="C106" s="596" t="n"/>
      <c r="D106" s="671" t="n"/>
      <c r="E106" s="595" t="n"/>
      <c r="F106" s="595" t="n"/>
      <c r="G106" s="595" t="n"/>
      <c r="H106" s="595" t="n"/>
      <c r="I106" s="595" t="n"/>
      <c r="J106" s="595" t="n"/>
      <c r="K106" s="595" t="n"/>
      <c r="L106" s="596" t="n"/>
    </row>
    <row r="107">
      <c r="A107" s="670" t="n"/>
      <c r="B107" s="595" t="n"/>
      <c r="C107" s="596" t="n"/>
      <c r="D107" s="671" t="n"/>
      <c r="E107" s="595" t="n"/>
      <c r="F107" s="595" t="n"/>
      <c r="G107" s="595" t="n"/>
      <c r="H107" s="595" t="n"/>
      <c r="I107" s="595" t="n"/>
      <c r="J107" s="595" t="n"/>
      <c r="K107" s="595" t="n"/>
      <c r="L107" s="596" t="n"/>
    </row>
    <row r="108">
      <c r="A108" s="670" t="n"/>
      <c r="B108" s="595" t="n"/>
      <c r="C108" s="596" t="n"/>
      <c r="D108" s="671" t="n"/>
      <c r="E108" s="595" t="n"/>
      <c r="F108" s="595" t="n"/>
      <c r="G108" s="595" t="n"/>
      <c r="H108" s="595" t="n"/>
      <c r="I108" s="595" t="n"/>
      <c r="J108" s="595" t="n"/>
      <c r="K108" s="595" t="n"/>
      <c r="L108" s="596" t="n"/>
    </row>
    <row r="109" collapsed="1" s="592">
      <c r="A109" s="670" t="n"/>
      <c r="B109" s="595" t="n"/>
      <c r="C109" s="596" t="n"/>
      <c r="D109" s="671" t="n"/>
      <c r="E109" s="595" t="n"/>
      <c r="F109" s="595" t="n"/>
      <c r="G109" s="595" t="n"/>
      <c r="H109" s="595" t="n"/>
      <c r="I109" s="595" t="n"/>
      <c r="J109" s="595" t="n"/>
      <c r="K109" s="595" t="n"/>
      <c r="L109" s="596" t="n"/>
    </row>
    <row r="110" hidden="1" outlineLevel="1" s="592">
      <c r="A110" s="670" t="n"/>
      <c r="B110" s="595" t="n"/>
      <c r="C110" s="596" t="n"/>
      <c r="D110" s="671" t="n"/>
      <c r="E110" s="595" t="n"/>
      <c r="F110" s="595" t="n"/>
      <c r="G110" s="595" t="n"/>
      <c r="H110" s="595" t="n"/>
      <c r="I110" s="595" t="n"/>
      <c r="J110" s="595" t="n"/>
      <c r="K110" s="595" t="n"/>
      <c r="L110" s="596" t="n"/>
    </row>
    <row r="111" hidden="1" outlineLevel="1" s="592">
      <c r="A111" s="670" t="n"/>
      <c r="B111" s="595" t="n"/>
      <c r="C111" s="596" t="n"/>
      <c r="D111" s="671" t="n"/>
      <c r="E111" s="595" t="n"/>
      <c r="F111" s="595" t="n"/>
      <c r="G111" s="595" t="n"/>
      <c r="H111" s="595" t="n"/>
      <c r="I111" s="595" t="n"/>
      <c r="J111" s="595" t="n"/>
      <c r="K111" s="595" t="n"/>
      <c r="L111" s="596" t="n"/>
    </row>
    <row r="112" hidden="1" outlineLevel="1" s="592">
      <c r="A112" s="670" t="n"/>
      <c r="B112" s="595" t="n"/>
      <c r="C112" s="596" t="n"/>
      <c r="D112" s="671" t="n"/>
      <c r="E112" s="595" t="n"/>
      <c r="F112" s="595" t="n"/>
      <c r="G112" s="595" t="n"/>
      <c r="H112" s="595" t="n"/>
      <c r="I112" s="595" t="n"/>
      <c r="J112" s="595" t="n"/>
      <c r="K112" s="595" t="n"/>
      <c r="L112" s="596" t="n"/>
    </row>
    <row r="113" hidden="1" outlineLevel="1" s="592">
      <c r="A113" s="670" t="n"/>
      <c r="B113" s="595" t="n"/>
      <c r="C113" s="596" t="n"/>
      <c r="D113" s="671" t="n"/>
      <c r="E113" s="595" t="n"/>
      <c r="F113" s="595" t="n"/>
      <c r="G113" s="595" t="n"/>
      <c r="H113" s="595" t="n"/>
      <c r="I113" s="595" t="n"/>
      <c r="J113" s="595" t="n"/>
      <c r="K113" s="595" t="n"/>
      <c r="L113" s="596" t="n"/>
    </row>
    <row r="114" hidden="1" outlineLevel="1" s="592">
      <c r="A114" s="670" t="n"/>
      <c r="B114" s="595" t="n"/>
      <c r="C114" s="596" t="n"/>
      <c r="D114" s="671" t="n"/>
      <c r="E114" s="595" t="n"/>
      <c r="F114" s="595" t="n"/>
      <c r="G114" s="595" t="n"/>
      <c r="H114" s="595" t="n"/>
      <c r="I114" s="595" t="n"/>
      <c r="J114" s="595" t="n"/>
      <c r="K114" s="595" t="n"/>
      <c r="L114" s="596" t="n"/>
    </row>
    <row r="115">
      <c r="A115" s="666" t="inlineStr">
        <is>
          <t xml:space="preserve">สรุปผลการดำเนินงานโครงการ </t>
        </is>
      </c>
      <c r="B115" s="595" t="n"/>
      <c r="C115" s="595" t="n"/>
      <c r="D115" s="595" t="n"/>
      <c r="E115" s="595" t="n"/>
      <c r="F115" s="595" t="n"/>
      <c r="G115" s="595" t="n"/>
      <c r="H115" s="595" t="n"/>
      <c r="I115" s="595" t="n"/>
      <c r="J115" s="595" t="n"/>
      <c r="K115" s="595" t="n"/>
      <c r="L115" s="596" t="n"/>
    </row>
    <row r="116" ht="99" customHeight="1" s="592">
      <c r="A116" s="613" t="n"/>
      <c r="B116" s="595" t="n"/>
      <c r="C116" s="595" t="n"/>
      <c r="D116" s="595" t="n"/>
      <c r="E116" s="595" t="n"/>
      <c r="F116" s="595" t="n"/>
      <c r="G116" s="595" t="n"/>
      <c r="H116" s="595" t="n"/>
      <c r="I116" s="595" t="n"/>
      <c r="J116" s="595" t="n"/>
      <c r="K116" s="595" t="n"/>
      <c r="L116" s="596" t="n"/>
    </row>
    <row r="117" ht="28.5" customHeight="1" s="592">
      <c r="A117" s="672" t="inlineStr">
        <is>
          <t xml:space="preserve">ภาพกิจกรรม </t>
        </is>
      </c>
      <c r="B117" s="595" t="n"/>
      <c r="C117" s="595" t="n"/>
      <c r="D117" s="595" t="n"/>
      <c r="E117" s="595" t="n"/>
      <c r="F117" s="595" t="n"/>
      <c r="G117" s="595" t="n"/>
      <c r="H117" s="595" t="n"/>
      <c r="I117" s="595" t="n"/>
      <c r="J117" s="595" t="n"/>
      <c r="K117" s="595" t="n"/>
      <c r="L117" s="596" t="n"/>
    </row>
    <row r="118">
      <c r="A118" s="472" t="n"/>
      <c r="B118" s="472" t="n"/>
      <c r="C118" s="472" t="n"/>
      <c r="D118" s="472" t="n"/>
      <c r="E118" s="472" t="n"/>
      <c r="F118" s="472" t="n"/>
      <c r="G118" s="472" t="n"/>
      <c r="H118" s="472" t="n"/>
      <c r="I118" s="472" t="n"/>
      <c r="J118" s="472" t="n"/>
      <c r="K118" s="472" t="n"/>
      <c r="L118" s="472" t="n"/>
    </row>
    <row r="119">
      <c r="A119" s="472" t="n"/>
      <c r="B119" s="472" t="n"/>
      <c r="C119" s="472" t="n"/>
      <c r="D119" s="472" t="n"/>
      <c r="E119" s="472" t="n"/>
      <c r="F119" s="472" t="n"/>
      <c r="G119" s="472" t="n"/>
      <c r="H119" s="472" t="n"/>
      <c r="I119" s="472" t="n"/>
      <c r="J119" s="472" t="n"/>
      <c r="K119" s="472" t="n"/>
      <c r="L119" s="472" t="n"/>
    </row>
    <row r="120">
      <c r="A120" s="472" t="n"/>
      <c r="B120" s="472" t="n"/>
      <c r="C120" s="472" t="n"/>
      <c r="D120" s="472" t="n"/>
      <c r="E120" s="472" t="n"/>
      <c r="F120" s="472" t="n"/>
      <c r="G120" s="472" t="n"/>
      <c r="H120" s="472" t="n"/>
      <c r="I120" s="472" t="n"/>
      <c r="J120" s="472" t="n"/>
      <c r="K120" s="472" t="n"/>
      <c r="L120" s="472" t="n"/>
    </row>
    <row r="121">
      <c r="A121" s="472" t="n"/>
      <c r="B121" s="472" t="n"/>
      <c r="C121" s="472" t="n"/>
      <c r="D121" s="472" t="n"/>
      <c r="E121" s="472" t="n"/>
      <c r="F121" s="472" t="n"/>
      <c r="G121" s="472" t="n"/>
      <c r="H121" s="472" t="n"/>
      <c r="I121" s="472" t="n"/>
      <c r="J121" s="472" t="n"/>
      <c r="K121" s="472" t="n"/>
      <c r="L121" s="472" t="n"/>
    </row>
    <row r="122">
      <c r="A122" s="472" t="n"/>
      <c r="B122" s="472" t="n"/>
      <c r="C122" s="472" t="n"/>
      <c r="D122" s="472" t="n"/>
      <c r="E122" s="472" t="n"/>
      <c r="F122" s="472" t="n"/>
      <c r="G122" s="472" t="n"/>
      <c r="H122" s="472" t="n"/>
      <c r="I122" s="472" t="n"/>
      <c r="J122" s="472" t="n"/>
      <c r="K122" s="472" t="n"/>
      <c r="L122" s="472" t="n"/>
    </row>
    <row r="123">
      <c r="A123" s="472" t="n"/>
      <c r="B123" s="472" t="n"/>
      <c r="C123" s="472" t="n"/>
      <c r="D123" s="472" t="n"/>
      <c r="E123" s="472" t="n"/>
      <c r="F123" s="472" t="n"/>
      <c r="G123" s="472" t="n"/>
      <c r="H123" s="472" t="n"/>
      <c r="I123" s="472" t="n"/>
      <c r="J123" s="472" t="n"/>
      <c r="K123" s="472" t="n"/>
      <c r="L123" s="472" t="n"/>
    </row>
    <row r="124">
      <c r="A124" s="472" t="n"/>
      <c r="B124" s="472" t="n"/>
      <c r="C124" s="472" t="n"/>
      <c r="D124" s="472" t="n"/>
      <c r="E124" s="472" t="n"/>
      <c r="F124" s="472" t="n"/>
      <c r="G124" s="472" t="n"/>
      <c r="H124" s="472" t="n"/>
      <c r="I124" s="472" t="n"/>
      <c r="J124" s="472" t="n"/>
      <c r="K124" s="472" t="n"/>
      <c r="L124" s="472" t="n"/>
    </row>
    <row r="125">
      <c r="A125" s="472" t="n"/>
      <c r="B125" s="472" t="n"/>
      <c r="C125" s="472" t="n"/>
      <c r="D125" s="472" t="n"/>
      <c r="E125" s="472" t="n"/>
      <c r="F125" s="472" t="n"/>
      <c r="G125" s="472" t="n"/>
      <c r="H125" s="472" t="n"/>
      <c r="I125" s="472" t="n"/>
      <c r="J125" s="472" t="n"/>
      <c r="K125" s="472" t="n"/>
      <c r="L125" s="472" t="n"/>
    </row>
    <row r="126">
      <c r="A126" s="472" t="n"/>
      <c r="B126" s="472" t="n"/>
      <c r="C126" s="472" t="n"/>
      <c r="D126" s="472" t="n"/>
      <c r="E126" s="472" t="n"/>
      <c r="F126" s="472" t="n"/>
      <c r="G126" s="472" t="n"/>
      <c r="H126" s="472" t="n"/>
      <c r="I126" s="472" t="n"/>
      <c r="J126" s="472" t="n"/>
      <c r="K126" s="472" t="n"/>
      <c r="L126" s="472" t="n"/>
    </row>
    <row r="127">
      <c r="A127" s="472" t="n"/>
      <c r="B127" s="472" t="n"/>
      <c r="C127" s="472" t="n"/>
      <c r="D127" s="472" t="n"/>
      <c r="E127" s="472" t="n"/>
      <c r="F127" s="472" t="n"/>
      <c r="G127" s="472" t="n"/>
      <c r="H127" s="472" t="n"/>
      <c r="I127" s="472" t="n"/>
      <c r="J127" s="472" t="n"/>
      <c r="K127" s="472" t="n"/>
      <c r="L127" s="472" t="n"/>
    </row>
    <row r="128">
      <c r="A128" s="472" t="n"/>
      <c r="B128" s="472" t="n"/>
      <c r="C128" s="472" t="n"/>
      <c r="D128" s="472" t="n"/>
      <c r="E128" s="472" t="n"/>
      <c r="F128" s="472" t="n"/>
      <c r="G128" s="472" t="n"/>
      <c r="H128" s="472" t="n"/>
      <c r="I128" s="472" t="n"/>
      <c r="J128" s="472" t="n"/>
      <c r="K128" s="472" t="n"/>
      <c r="L128" s="472" t="n"/>
    </row>
    <row r="129">
      <c r="A129" s="472" t="n"/>
      <c r="B129" s="472" t="n"/>
      <c r="C129" s="472" t="n"/>
      <c r="D129" s="472" t="n"/>
      <c r="E129" s="472" t="n"/>
      <c r="F129" s="472" t="n"/>
      <c r="G129" s="472" t="n"/>
      <c r="H129" s="472" t="n"/>
      <c r="I129" s="472" t="n"/>
      <c r="J129" s="472" t="n"/>
      <c r="K129" s="472" t="n"/>
      <c r="L129" s="472" t="n"/>
    </row>
    <row r="130">
      <c r="A130" s="472" t="n"/>
      <c r="B130" s="472" t="n"/>
      <c r="C130" s="472" t="n"/>
      <c r="D130" s="472" t="n"/>
      <c r="E130" s="472" t="n"/>
      <c r="F130" s="472" t="n"/>
      <c r="G130" s="472" t="n"/>
      <c r="H130" s="472" t="n"/>
      <c r="I130" s="472" t="n"/>
      <c r="J130" s="472" t="n"/>
      <c r="K130" s="472" t="n"/>
      <c r="L130" s="472" t="n"/>
    </row>
    <row r="131">
      <c r="A131" s="472" t="n"/>
      <c r="B131" s="472" t="n"/>
      <c r="C131" s="472" t="n"/>
      <c r="D131" s="472" t="n"/>
      <c r="E131" s="472" t="n"/>
      <c r="F131" s="472" t="n"/>
      <c r="G131" s="472" t="n"/>
      <c r="H131" s="472" t="n"/>
      <c r="I131" s="472" t="n"/>
      <c r="J131" s="472" t="n"/>
      <c r="K131" s="472" t="n"/>
      <c r="L131" s="472" t="n"/>
    </row>
    <row r="132">
      <c r="A132" s="472" t="n"/>
      <c r="B132" s="472" t="n"/>
      <c r="C132" s="472" t="n"/>
      <c r="D132" s="472" t="n"/>
      <c r="E132" s="472" t="n"/>
      <c r="F132" s="472" t="n"/>
      <c r="G132" s="472" t="n"/>
      <c r="H132" s="472" t="n"/>
      <c r="I132" s="472" t="n"/>
      <c r="J132" s="472" t="n"/>
      <c r="K132" s="472" t="n"/>
      <c r="L132" s="472" t="n"/>
    </row>
    <row r="133">
      <c r="A133" s="472" t="n"/>
      <c r="B133" s="472" t="n"/>
      <c r="C133" s="472" t="n"/>
      <c r="D133" s="472" t="n"/>
      <c r="E133" s="472" t="n"/>
      <c r="F133" s="472" t="n"/>
      <c r="G133" s="472" t="n"/>
      <c r="H133" s="472" t="n"/>
      <c r="I133" s="472" t="n"/>
      <c r="J133" s="472" t="n"/>
      <c r="K133" s="472" t="n"/>
      <c r="L133" s="472" t="n"/>
    </row>
    <row r="134">
      <c r="A134" s="472" t="n"/>
      <c r="B134" s="472" t="n"/>
      <c r="C134" s="472" t="n"/>
      <c r="D134" s="472" t="n"/>
      <c r="E134" s="472" t="n"/>
      <c r="F134" s="472" t="n"/>
      <c r="G134" s="472" t="n"/>
      <c r="H134" s="472" t="n"/>
      <c r="I134" s="472" t="n"/>
      <c r="J134" s="472" t="n"/>
      <c r="K134" s="472" t="n"/>
      <c r="L134" s="472" t="n"/>
    </row>
    <row r="135">
      <c r="A135" s="472" t="n"/>
      <c r="B135" s="472" t="n"/>
      <c r="C135" s="472" t="n"/>
      <c r="D135" s="472" t="n"/>
      <c r="E135" s="472" t="n"/>
      <c r="F135" s="472" t="n"/>
      <c r="G135" s="472" t="n"/>
      <c r="H135" s="472" t="n"/>
      <c r="I135" s="472" t="n"/>
      <c r="J135" s="472" t="n"/>
      <c r="K135" s="472" t="n"/>
      <c r="L135" s="472" t="n"/>
    </row>
    <row r="136">
      <c r="A136" s="472" t="n"/>
      <c r="B136" s="472" t="n"/>
      <c r="C136" s="472" t="n"/>
      <c r="D136" s="472" t="n"/>
      <c r="E136" s="472" t="n"/>
      <c r="F136" s="472" t="n"/>
      <c r="G136" s="472" t="n"/>
      <c r="H136" s="472" t="n"/>
      <c r="I136" s="472" t="n"/>
      <c r="J136" s="472" t="n"/>
      <c r="K136" s="472" t="n"/>
      <c r="L136" s="472" t="n"/>
    </row>
    <row r="137">
      <c r="A137" s="472" t="n"/>
      <c r="B137" s="472" t="n"/>
      <c r="C137" s="472" t="n"/>
      <c r="D137" s="472" t="n"/>
      <c r="E137" s="472" t="n"/>
      <c r="F137" s="472" t="n"/>
      <c r="G137" s="472" t="n"/>
      <c r="H137" s="472" t="n"/>
      <c r="I137" s="472" t="n"/>
      <c r="J137" s="472" t="n"/>
      <c r="K137" s="472" t="n"/>
      <c r="L137" s="472" t="n"/>
    </row>
    <row r="138">
      <c r="A138" s="472" t="n"/>
      <c r="B138" s="472" t="n"/>
      <c r="C138" s="472" t="n"/>
      <c r="D138" s="472" t="n"/>
      <c r="E138" s="472" t="n"/>
      <c r="F138" s="472" t="n"/>
      <c r="G138" s="472" t="n"/>
      <c r="H138" s="472" t="n"/>
      <c r="I138" s="472" t="n"/>
      <c r="J138" s="472" t="n"/>
      <c r="K138" s="472" t="n"/>
      <c r="L138" s="472" t="n"/>
    </row>
    <row r="139">
      <c r="A139" s="472" t="n"/>
      <c r="B139" s="472" t="n"/>
      <c r="C139" s="472" t="n"/>
      <c r="D139" s="472" t="n"/>
      <c r="E139" s="472" t="n"/>
      <c r="F139" s="472" t="n"/>
      <c r="G139" s="472" t="n"/>
      <c r="H139" s="472" t="n"/>
      <c r="I139" s="472" t="n"/>
      <c r="J139" s="472" t="n"/>
      <c r="K139" s="472" t="n"/>
      <c r="L139" s="472" t="n"/>
    </row>
    <row r="140">
      <c r="A140" s="472" t="n"/>
      <c r="B140" s="472" t="n"/>
      <c r="C140" s="472" t="n"/>
      <c r="D140" s="472" t="n"/>
      <c r="E140" s="472" t="n"/>
      <c r="F140" s="472" t="n"/>
      <c r="G140" s="472" t="n"/>
      <c r="H140" s="472" t="n"/>
      <c r="I140" s="472" t="n"/>
      <c r="J140" s="472" t="n"/>
      <c r="K140" s="472" t="n"/>
      <c r="L140" s="472" t="n"/>
    </row>
    <row r="141">
      <c r="A141" s="472" t="n"/>
      <c r="B141" s="472" t="n"/>
      <c r="C141" s="472" t="n"/>
      <c r="D141" s="472" t="n"/>
      <c r="E141" s="472" t="n"/>
      <c r="F141" s="472" t="n"/>
      <c r="G141" s="472" t="n"/>
      <c r="H141" s="472" t="n"/>
      <c r="I141" s="472" t="n"/>
      <c r="J141" s="472" t="n"/>
      <c r="K141" s="472" t="n"/>
      <c r="L141" s="472" t="n"/>
    </row>
    <row r="142">
      <c r="A142" s="472" t="n"/>
      <c r="B142" s="472" t="n"/>
      <c r="C142" s="472" t="n"/>
      <c r="D142" s="472" t="n"/>
      <c r="E142" s="472" t="n"/>
      <c r="F142" s="472" t="n"/>
      <c r="G142" s="472" t="n"/>
      <c r="H142" s="472" t="n"/>
      <c r="I142" s="472" t="n"/>
      <c r="J142" s="472" t="n"/>
      <c r="K142" s="472" t="n"/>
      <c r="L142" s="472" t="n"/>
    </row>
    <row r="143">
      <c r="A143" s="472" t="n"/>
      <c r="B143" s="472" t="n"/>
      <c r="C143" s="472" t="n"/>
      <c r="D143" s="472" t="n"/>
      <c r="E143" s="472" t="n"/>
      <c r="F143" s="472" t="n"/>
      <c r="G143" s="472" t="n"/>
      <c r="H143" s="472" t="n"/>
      <c r="I143" s="472" t="n"/>
      <c r="J143" s="472" t="n"/>
      <c r="K143" s="472" t="n"/>
      <c r="L143" s="472" t="n"/>
    </row>
    <row r="144">
      <c r="A144" s="472" t="n"/>
      <c r="B144" s="472" t="n"/>
      <c r="C144" s="472" t="n"/>
      <c r="D144" s="472" t="n"/>
      <c r="E144" s="472" t="n"/>
      <c r="F144" s="472" t="n"/>
      <c r="G144" s="472" t="n"/>
      <c r="H144" s="472" t="n"/>
      <c r="I144" s="472" t="n"/>
      <c r="J144" s="472" t="n"/>
      <c r="K144" s="472" t="n"/>
      <c r="L144" s="472" t="n"/>
    </row>
    <row r="145">
      <c r="A145" s="472" t="n"/>
      <c r="B145" s="472" t="n"/>
      <c r="C145" s="472" t="n"/>
      <c r="D145" s="472" t="n"/>
      <c r="E145" s="472" t="n"/>
      <c r="F145" s="472" t="n"/>
      <c r="G145" s="472" t="n"/>
      <c r="H145" s="472" t="n"/>
      <c r="I145" s="472" t="n"/>
      <c r="J145" s="472" t="n"/>
      <c r="K145" s="472" t="n"/>
      <c r="L145" s="472" t="n"/>
    </row>
    <row r="146">
      <c r="A146" s="472" t="n"/>
      <c r="B146" s="472" t="n"/>
      <c r="C146" s="472" t="n"/>
      <c r="D146" s="472" t="n"/>
      <c r="E146" s="472" t="n"/>
      <c r="F146" s="472" t="n"/>
      <c r="G146" s="472" t="n"/>
      <c r="H146" s="472" t="n"/>
      <c r="I146" s="472" t="n"/>
      <c r="J146" s="472" t="n"/>
      <c r="K146" s="472" t="n"/>
      <c r="L146" s="472" t="n"/>
    </row>
    <row r="147">
      <c r="A147" s="472" t="n"/>
      <c r="B147" s="472" t="n"/>
      <c r="C147" s="472" t="n"/>
      <c r="D147" s="472" t="n"/>
      <c r="E147" s="472" t="n"/>
      <c r="F147" s="472" t="n"/>
      <c r="G147" s="472" t="n"/>
      <c r="H147" s="472" t="n"/>
      <c r="I147" s="472" t="n"/>
      <c r="J147" s="472" t="n"/>
      <c r="K147" s="472" t="n"/>
      <c r="L147" s="472" t="n"/>
    </row>
    <row r="148">
      <c r="A148" s="472" t="n"/>
      <c r="B148" s="472" t="n"/>
      <c r="C148" s="472" t="n"/>
      <c r="D148" s="472" t="n"/>
      <c r="E148" s="472" t="n"/>
      <c r="F148" s="472" t="n"/>
      <c r="G148" s="472" t="n"/>
      <c r="H148" s="472" t="n"/>
      <c r="I148" s="472" t="n"/>
      <c r="J148" s="472" t="n"/>
      <c r="K148" s="472" t="n"/>
      <c r="L148" s="472" t="n"/>
    </row>
    <row r="149">
      <c r="A149" s="472" t="n"/>
      <c r="B149" s="472" t="n"/>
      <c r="C149" s="472" t="n"/>
      <c r="D149" s="472" t="n"/>
      <c r="E149" s="472" t="n"/>
      <c r="F149" s="472" t="n"/>
      <c r="G149" s="472" t="n"/>
      <c r="H149" s="472" t="n"/>
      <c r="I149" s="472" t="n"/>
      <c r="J149" s="472" t="n"/>
      <c r="K149" s="472" t="n"/>
      <c r="L149" s="472" t="n"/>
    </row>
    <row r="150">
      <c r="A150" s="472" t="n"/>
      <c r="B150" s="472" t="n"/>
      <c r="C150" s="472" t="n"/>
      <c r="D150" s="472" t="n"/>
      <c r="E150" s="472" t="n"/>
      <c r="F150" s="472" t="n"/>
      <c r="G150" s="472" t="n"/>
      <c r="H150" s="472" t="n"/>
      <c r="I150" s="472" t="n"/>
      <c r="J150" s="472" t="n"/>
      <c r="K150" s="472" t="n"/>
      <c r="L150" s="472" t="n"/>
    </row>
    <row r="151">
      <c r="A151" s="472" t="n"/>
      <c r="B151" s="472" t="n"/>
      <c r="C151" s="472" t="n"/>
      <c r="D151" s="472" t="n"/>
      <c r="E151" s="472" t="n"/>
      <c r="F151" s="472" t="n"/>
      <c r="G151" s="472" t="n"/>
      <c r="H151" s="472" t="n"/>
      <c r="I151" s="472" t="n"/>
      <c r="J151" s="472" t="n"/>
      <c r="K151" s="472" t="n"/>
      <c r="L151" s="472" t="n"/>
    </row>
    <row r="152">
      <c r="A152" s="472" t="n"/>
      <c r="B152" s="472" t="n"/>
      <c r="C152" s="472" t="n"/>
      <c r="D152" s="472" t="n"/>
      <c r="E152" s="472" t="n"/>
      <c r="F152" s="472" t="n"/>
      <c r="G152" s="472" t="n"/>
      <c r="H152" s="472" t="n"/>
      <c r="I152" s="472" t="n"/>
      <c r="J152" s="472" t="n"/>
      <c r="K152" s="472" t="n"/>
      <c r="L152" s="472" t="n"/>
    </row>
    <row r="153">
      <c r="A153" s="472" t="n"/>
      <c r="B153" s="472" t="n"/>
      <c r="C153" s="472" t="n"/>
      <c r="D153" s="472" t="n"/>
      <c r="E153" s="472" t="n"/>
      <c r="F153" s="472" t="n"/>
      <c r="G153" s="472" t="n"/>
      <c r="H153" s="472" t="n"/>
      <c r="I153" s="472" t="n"/>
      <c r="J153" s="472" t="n"/>
      <c r="K153" s="472" t="n"/>
      <c r="L153" s="472" t="n"/>
    </row>
    <row r="154">
      <c r="A154" s="472" t="n"/>
      <c r="B154" s="472" t="n"/>
      <c r="C154" s="472" t="n"/>
      <c r="D154" s="472" t="n"/>
      <c r="E154" s="472" t="n"/>
      <c r="F154" s="472" t="n"/>
      <c r="G154" s="472" t="n"/>
      <c r="H154" s="472" t="n"/>
      <c r="I154" s="472" t="n"/>
      <c r="J154" s="472" t="n"/>
      <c r="K154" s="472" t="n"/>
      <c r="L154" s="472" t="n"/>
    </row>
    <row r="155">
      <c r="A155" s="472" t="n"/>
      <c r="B155" s="472" t="n"/>
      <c r="C155" s="472" t="n"/>
      <c r="D155" s="472" t="n"/>
      <c r="E155" s="472" t="n"/>
      <c r="F155" s="472" t="n"/>
      <c r="G155" s="472" t="n"/>
      <c r="H155" s="472" t="n"/>
      <c r="I155" s="472" t="n"/>
      <c r="J155" s="472" t="n"/>
      <c r="K155" s="472" t="n"/>
      <c r="L155" s="472" t="n"/>
    </row>
    <row r="156">
      <c r="A156" s="472" t="n"/>
      <c r="B156" s="472" t="n"/>
      <c r="C156" s="472" t="n"/>
      <c r="D156" s="472" t="n"/>
      <c r="E156" s="472" t="n"/>
      <c r="F156" s="472" t="n"/>
      <c r="G156" s="472" t="n"/>
      <c r="H156" s="472" t="n"/>
      <c r="I156" s="472" t="n"/>
      <c r="J156" s="472" t="n"/>
      <c r="K156" s="472" t="n"/>
      <c r="L156" s="472" t="n"/>
    </row>
    <row r="157">
      <c r="A157" s="472" t="n"/>
      <c r="B157" s="472" t="n"/>
      <c r="C157" s="472" t="n"/>
      <c r="D157" s="472" t="n"/>
      <c r="E157" s="472" t="n"/>
      <c r="F157" s="472" t="n"/>
      <c r="G157" s="472" t="n"/>
      <c r="H157" s="472" t="n"/>
      <c r="I157" s="472" t="n"/>
      <c r="J157" s="472" t="n"/>
      <c r="K157" s="472" t="n"/>
      <c r="L157" s="472" t="n"/>
    </row>
    <row r="158">
      <c r="A158" s="472" t="n"/>
      <c r="B158" s="472" t="n"/>
      <c r="C158" s="472" t="n"/>
      <c r="D158" s="472" t="n"/>
      <c r="E158" s="472" t="n"/>
      <c r="F158" s="472" t="n"/>
      <c r="G158" s="472" t="n"/>
      <c r="H158" s="472" t="n"/>
      <c r="I158" s="472" t="n"/>
      <c r="J158" s="472" t="n"/>
      <c r="K158" s="472" t="n"/>
      <c r="L158" s="472" t="n"/>
    </row>
    <row r="159">
      <c r="A159" s="472" t="n"/>
      <c r="B159" s="472" t="n"/>
      <c r="C159" s="472" t="n"/>
      <c r="D159" s="472" t="n"/>
      <c r="E159" s="472" t="n"/>
      <c r="F159" s="472" t="n"/>
      <c r="G159" s="472" t="n"/>
      <c r="H159" s="472" t="n"/>
      <c r="I159" s="472" t="n"/>
      <c r="J159" s="472" t="n"/>
      <c r="K159" s="472" t="n"/>
      <c r="L159" s="472" t="n"/>
    </row>
    <row r="160">
      <c r="A160" s="472" t="n"/>
      <c r="B160" s="472" t="n"/>
      <c r="C160" s="472" t="n"/>
      <c r="D160" s="472" t="n"/>
      <c r="E160" s="472" t="n"/>
      <c r="F160" s="472" t="n"/>
      <c r="G160" s="472" t="n"/>
      <c r="H160" s="472" t="n"/>
      <c r="I160" s="472" t="n"/>
      <c r="J160" s="472" t="n"/>
      <c r="K160" s="472" t="n"/>
      <c r="L160" s="472" t="n"/>
    </row>
    <row r="161">
      <c r="A161" s="472" t="n"/>
      <c r="B161" s="472" t="n"/>
      <c r="C161" s="472" t="n"/>
      <c r="D161" s="472" t="n"/>
      <c r="E161" s="472" t="n"/>
      <c r="F161" s="472" t="n"/>
      <c r="G161" s="472" t="n"/>
      <c r="H161" s="472" t="n"/>
      <c r="I161" s="472" t="n"/>
      <c r="J161" s="472" t="n"/>
      <c r="K161" s="472" t="n"/>
      <c r="L161" s="472" t="n"/>
    </row>
    <row r="162">
      <c r="A162" s="472" t="n"/>
      <c r="B162" s="472" t="n"/>
      <c r="C162" s="472" t="n"/>
      <c r="D162" s="472" t="n"/>
      <c r="E162" s="472" t="n"/>
      <c r="F162" s="472" t="n"/>
      <c r="G162" s="472" t="n"/>
      <c r="H162" s="472" t="n"/>
      <c r="I162" s="472" t="n"/>
      <c r="J162" s="472" t="n"/>
      <c r="K162" s="472" t="n"/>
      <c r="L162" s="472" t="n"/>
    </row>
    <row r="163">
      <c r="A163" s="472" t="n"/>
      <c r="B163" s="472" t="n"/>
      <c r="C163" s="472" t="n"/>
      <c r="D163" s="472" t="n"/>
      <c r="E163" s="472" t="n"/>
      <c r="F163" s="472" t="n"/>
      <c r="G163" s="472" t="n"/>
      <c r="H163" s="472" t="n"/>
      <c r="I163" s="472" t="n"/>
      <c r="J163" s="472" t="n"/>
      <c r="K163" s="472" t="n"/>
      <c r="L163" s="472" t="n"/>
    </row>
    <row r="164">
      <c r="A164" s="472" t="n"/>
      <c r="B164" s="472" t="n"/>
      <c r="C164" s="472" t="n"/>
      <c r="D164" s="472" t="n"/>
      <c r="E164" s="472" t="n"/>
      <c r="F164" s="472" t="n"/>
      <c r="G164" s="472" t="n"/>
      <c r="H164" s="472" t="n"/>
      <c r="I164" s="472" t="n"/>
      <c r="J164" s="472" t="n"/>
      <c r="K164" s="472" t="n"/>
      <c r="L164" s="472" t="n"/>
    </row>
    <row r="165">
      <c r="A165" s="472" t="n"/>
      <c r="B165" s="472" t="n"/>
      <c r="C165" s="472" t="n"/>
      <c r="D165" s="472" t="n"/>
      <c r="E165" s="472" t="n"/>
      <c r="F165" s="472" t="n"/>
      <c r="G165" s="472" t="n"/>
      <c r="H165" s="472" t="n"/>
      <c r="I165" s="472" t="n"/>
      <c r="J165" s="472" t="n"/>
      <c r="K165" s="472" t="n"/>
      <c r="L165" s="472" t="n"/>
    </row>
    <row r="166">
      <c r="A166" s="472" t="n"/>
      <c r="B166" s="472" t="n"/>
      <c r="C166" s="472" t="n"/>
      <c r="D166" s="472" t="n"/>
      <c r="E166" s="472" t="n"/>
      <c r="F166" s="472" t="n"/>
      <c r="G166" s="472" t="n"/>
      <c r="H166" s="472" t="n"/>
      <c r="I166" s="472" t="n"/>
      <c r="J166" s="472" t="n"/>
      <c r="K166" s="472" t="n"/>
      <c r="L166" s="472" t="n"/>
    </row>
    <row r="167">
      <c r="A167" s="472" t="n"/>
      <c r="B167" s="472" t="n"/>
      <c r="C167" s="472" t="n"/>
      <c r="D167" s="472" t="n"/>
      <c r="E167" s="472" t="n"/>
      <c r="F167" s="472" t="n"/>
      <c r="G167" s="472" t="n"/>
      <c r="H167" s="472" t="n"/>
      <c r="I167" s="472" t="n"/>
      <c r="J167" s="472" t="n"/>
      <c r="K167" s="472" t="n"/>
      <c r="L167" s="472" t="n"/>
    </row>
    <row r="168">
      <c r="A168" s="472" t="n"/>
      <c r="B168" s="472" t="n"/>
      <c r="C168" s="472" t="n"/>
      <c r="D168" s="472" t="n"/>
      <c r="E168" s="472" t="n"/>
      <c r="F168" s="472" t="n"/>
      <c r="G168" s="472" t="n"/>
      <c r="H168" s="472" t="n"/>
      <c r="I168" s="472" t="n"/>
      <c r="J168" s="472" t="n"/>
      <c r="K168" s="472" t="n"/>
      <c r="L168" s="472" t="n"/>
    </row>
    <row r="169">
      <c r="A169" s="472" t="n"/>
      <c r="B169" s="472" t="n"/>
      <c r="C169" s="472" t="n"/>
      <c r="D169" s="472" t="n"/>
      <c r="E169" s="472" t="n"/>
      <c r="F169" s="472" t="n"/>
      <c r="G169" s="472" t="n"/>
      <c r="H169" s="472" t="n"/>
      <c r="I169" s="472" t="n"/>
      <c r="J169" s="472" t="n"/>
      <c r="K169" s="472" t="n"/>
      <c r="L169" s="472" t="n"/>
    </row>
    <row r="170">
      <c r="A170" s="472" t="n"/>
      <c r="B170" s="472" t="n"/>
      <c r="C170" s="472" t="n"/>
      <c r="D170" s="472" t="n"/>
      <c r="E170" s="472" t="n"/>
      <c r="F170" s="472" t="n"/>
      <c r="G170" s="472" t="n"/>
      <c r="H170" s="472" t="n"/>
      <c r="I170" s="472" t="n"/>
      <c r="J170" s="472" t="n"/>
      <c r="K170" s="472" t="n"/>
      <c r="L170" s="472" t="n"/>
    </row>
    <row r="171">
      <c r="A171" s="472" t="n"/>
      <c r="B171" s="472" t="n"/>
      <c r="C171" s="472" t="n"/>
      <c r="D171" s="472" t="n"/>
      <c r="E171" s="472" t="n"/>
      <c r="F171" s="472" t="n"/>
      <c r="G171" s="472" t="n"/>
      <c r="H171" s="472" t="n"/>
      <c r="I171" s="472" t="n"/>
      <c r="J171" s="472" t="n"/>
      <c r="K171" s="472" t="n"/>
      <c r="L171" s="472" t="n"/>
    </row>
    <row r="172">
      <c r="A172" s="472" t="n"/>
      <c r="B172" s="472" t="n"/>
      <c r="C172" s="472" t="n"/>
      <c r="D172" s="472" t="n"/>
      <c r="E172" s="472" t="n"/>
      <c r="F172" s="472" t="n"/>
      <c r="G172" s="472" t="n"/>
      <c r="H172" s="472" t="n"/>
      <c r="I172" s="472" t="n"/>
      <c r="J172" s="472" t="n"/>
      <c r="K172" s="472" t="n"/>
      <c r="L172" s="472" t="n"/>
    </row>
    <row r="173">
      <c r="A173" s="472" t="n"/>
      <c r="B173" s="472" t="n"/>
      <c r="C173" s="472" t="n"/>
      <c r="D173" s="472" t="n"/>
      <c r="E173" s="472" t="n"/>
      <c r="F173" s="472" t="n"/>
      <c r="G173" s="472" t="n"/>
      <c r="H173" s="472" t="n"/>
      <c r="I173" s="472" t="n"/>
      <c r="J173" s="472" t="n"/>
      <c r="K173" s="472" t="n"/>
      <c r="L173" s="472" t="n"/>
    </row>
    <row r="174">
      <c r="A174" s="472" t="n"/>
      <c r="B174" s="472" t="n"/>
      <c r="C174" s="472" t="n"/>
      <c r="D174" s="472" t="n"/>
      <c r="E174" s="472" t="n"/>
      <c r="F174" s="472" t="n"/>
      <c r="G174" s="472" t="n"/>
      <c r="H174" s="472" t="n"/>
      <c r="I174" s="472" t="n"/>
      <c r="J174" s="472" t="n"/>
      <c r="K174" s="472" t="n"/>
      <c r="L174" s="472" t="n"/>
    </row>
    <row r="175">
      <c r="A175" s="472" t="n"/>
      <c r="B175" s="472" t="n"/>
      <c r="C175" s="472" t="n"/>
      <c r="D175" s="472" t="n"/>
      <c r="E175" s="472" t="n"/>
      <c r="F175" s="472" t="n"/>
      <c r="G175" s="472" t="n"/>
      <c r="H175" s="472" t="n"/>
      <c r="I175" s="472" t="n"/>
      <c r="J175" s="472" t="n"/>
      <c r="K175" s="472" t="n"/>
      <c r="L175" s="472" t="n"/>
    </row>
    <row r="176">
      <c r="A176" s="472" t="n"/>
      <c r="B176" s="472" t="n"/>
      <c r="C176" s="472" t="n"/>
      <c r="D176" s="472" t="n"/>
      <c r="E176" s="472" t="n"/>
      <c r="F176" s="472" t="n"/>
      <c r="G176" s="472" t="n"/>
      <c r="H176" s="472" t="n"/>
      <c r="I176" s="472" t="n"/>
      <c r="J176" s="472" t="n"/>
      <c r="K176" s="472" t="n"/>
      <c r="L176" s="472" t="n"/>
    </row>
    <row r="177">
      <c r="A177" s="472" t="n"/>
      <c r="B177" s="472" t="n"/>
      <c r="C177" s="472" t="n"/>
      <c r="D177" s="472" t="n"/>
      <c r="E177" s="472" t="n"/>
      <c r="F177" s="472" t="n"/>
      <c r="G177" s="472" t="n"/>
      <c r="H177" s="472" t="n"/>
      <c r="I177" s="472" t="n"/>
      <c r="J177" s="472" t="n"/>
      <c r="K177" s="472" t="n"/>
      <c r="L177" s="472" t="n"/>
    </row>
    <row r="178">
      <c r="A178" s="472" t="n"/>
      <c r="B178" s="472" t="n"/>
      <c r="C178" s="472" t="n"/>
      <c r="D178" s="472" t="n"/>
      <c r="E178" s="472" t="n"/>
      <c r="F178" s="472" t="n"/>
      <c r="G178" s="472" t="n"/>
      <c r="H178" s="472" t="n"/>
      <c r="I178" s="472" t="n"/>
      <c r="J178" s="472" t="n"/>
      <c r="K178" s="472" t="n"/>
      <c r="L178" s="472" t="n"/>
    </row>
    <row r="179">
      <c r="A179" s="472" t="n"/>
      <c r="B179" s="472" t="n"/>
      <c r="C179" s="472" t="n"/>
      <c r="D179" s="472" t="n"/>
      <c r="E179" s="472" t="n"/>
      <c r="F179" s="472" t="n"/>
      <c r="G179" s="472" t="n"/>
      <c r="H179" s="472" t="n"/>
      <c r="I179" s="472" t="n"/>
      <c r="J179" s="472" t="n"/>
      <c r="K179" s="472" t="n"/>
      <c r="L179" s="472" t="n"/>
    </row>
    <row r="180">
      <c r="A180" s="472" t="n"/>
      <c r="B180" s="472" t="n"/>
      <c r="C180" s="472" t="n"/>
      <c r="D180" s="472" t="n"/>
      <c r="E180" s="472" t="n"/>
      <c r="F180" s="472" t="n"/>
      <c r="G180" s="472" t="n"/>
      <c r="H180" s="472" t="n"/>
      <c r="I180" s="472" t="n"/>
      <c r="J180" s="472" t="n"/>
      <c r="K180" s="472" t="n"/>
      <c r="L180" s="472" t="n"/>
    </row>
    <row r="181">
      <c r="A181" s="472" t="n"/>
      <c r="B181" s="472" t="n"/>
      <c r="C181" s="472" t="n"/>
      <c r="D181" s="472" t="n"/>
      <c r="E181" s="472" t="n"/>
      <c r="F181" s="472" t="n"/>
      <c r="G181" s="472" t="n"/>
      <c r="H181" s="472" t="n"/>
      <c r="I181" s="472" t="n"/>
      <c r="J181" s="472" t="n"/>
      <c r="K181" s="472" t="n"/>
      <c r="L181" s="472" t="n"/>
    </row>
    <row r="182">
      <c r="A182" s="472" t="n"/>
      <c r="B182" s="472" t="n"/>
      <c r="C182" s="472" t="n"/>
      <c r="D182" s="472" t="n"/>
      <c r="E182" s="472" t="n"/>
      <c r="F182" s="472" t="n"/>
      <c r="G182" s="472" t="n"/>
      <c r="H182" s="472" t="n"/>
      <c r="I182" s="472" t="n"/>
      <c r="J182" s="472" t="n"/>
      <c r="K182" s="472" t="n"/>
      <c r="L182" s="472" t="n"/>
    </row>
    <row r="183">
      <c r="A183" s="472" t="n"/>
      <c r="B183" s="472" t="n"/>
      <c r="C183" s="472" t="n"/>
      <c r="D183" s="472" t="n"/>
      <c r="E183" s="472" t="n"/>
      <c r="F183" s="472" t="n"/>
      <c r="G183" s="472" t="n"/>
      <c r="H183" s="472" t="n"/>
      <c r="I183" s="472" t="n"/>
      <c r="J183" s="472" t="n"/>
      <c r="K183" s="472" t="n"/>
      <c r="L183" s="472" t="n"/>
    </row>
    <row r="184">
      <c r="A184" s="472" t="n"/>
      <c r="B184" s="472" t="n"/>
      <c r="C184" s="472" t="n"/>
      <c r="D184" s="472" t="n"/>
      <c r="E184" s="472" t="n"/>
      <c r="F184" s="472" t="n"/>
      <c r="G184" s="472" t="n"/>
      <c r="H184" s="472" t="n"/>
      <c r="I184" s="472" t="n"/>
      <c r="J184" s="472" t="n"/>
      <c r="K184" s="472" t="n"/>
      <c r="L184" s="472" t="n"/>
    </row>
    <row r="185">
      <c r="A185" s="472" t="n"/>
      <c r="B185" s="472" t="n"/>
      <c r="C185" s="472" t="n"/>
      <c r="D185" s="472" t="n"/>
      <c r="E185" s="472" t="n"/>
      <c r="F185" s="472" t="n"/>
      <c r="G185" s="472" t="n"/>
      <c r="H185" s="472" t="n"/>
      <c r="I185" s="472" t="n"/>
      <c r="J185" s="472" t="n"/>
      <c r="K185" s="472" t="n"/>
      <c r="L185" s="472" t="n"/>
    </row>
    <row r="186">
      <c r="A186" s="472" t="n"/>
      <c r="B186" s="472" t="n"/>
      <c r="C186" s="472" t="n"/>
      <c r="D186" s="472" t="n"/>
      <c r="E186" s="472" t="n"/>
      <c r="F186" s="472" t="n"/>
      <c r="G186" s="472" t="n"/>
      <c r="H186" s="472" t="n"/>
      <c r="I186" s="472" t="n"/>
      <c r="J186" s="472" t="n"/>
      <c r="K186" s="472" t="n"/>
      <c r="L186" s="472" t="n"/>
    </row>
    <row r="187">
      <c r="A187" s="472" t="n"/>
      <c r="B187" s="472" t="n"/>
      <c r="C187" s="472" t="n"/>
      <c r="D187" s="472" t="n"/>
      <c r="E187" s="472" t="n"/>
      <c r="F187" s="472" t="n"/>
      <c r="G187" s="472" t="n"/>
      <c r="H187" s="472" t="n"/>
      <c r="I187" s="472" t="n"/>
      <c r="J187" s="472" t="n"/>
      <c r="K187" s="472" t="n"/>
      <c r="L187" s="472" t="n"/>
    </row>
    <row r="188">
      <c r="A188" s="472" t="n"/>
      <c r="B188" s="472" t="n"/>
      <c r="C188" s="472" t="n"/>
      <c r="D188" s="472" t="n"/>
      <c r="E188" s="472" t="n"/>
      <c r="F188" s="472" t="n"/>
      <c r="G188" s="472" t="n"/>
      <c r="H188" s="472" t="n"/>
      <c r="I188" s="472" t="n"/>
      <c r="J188" s="472" t="n"/>
      <c r="K188" s="472" t="n"/>
      <c r="L188" s="472" t="n"/>
    </row>
    <row r="189">
      <c r="A189" s="472" t="n"/>
      <c r="B189" s="472" t="n"/>
      <c r="C189" s="472" t="n"/>
      <c r="D189" s="472" t="n"/>
      <c r="E189" s="472" t="n"/>
      <c r="F189" s="472" t="n"/>
      <c r="G189" s="472" t="n"/>
      <c r="H189" s="472" t="n"/>
      <c r="I189" s="472" t="n"/>
      <c r="J189" s="472" t="n"/>
      <c r="K189" s="472" t="n"/>
      <c r="L189" s="472" t="n"/>
    </row>
    <row r="190">
      <c r="A190" s="472" t="n"/>
      <c r="B190" s="472" t="n"/>
      <c r="C190" s="472" t="n"/>
      <c r="D190" s="472" t="n"/>
      <c r="E190" s="472" t="n"/>
      <c r="F190" s="472" t="n"/>
      <c r="G190" s="472" t="n"/>
      <c r="H190" s="472" t="n"/>
      <c r="I190" s="472" t="n"/>
      <c r="J190" s="472" t="n"/>
      <c r="K190" s="472" t="n"/>
      <c r="L190" s="472" t="n"/>
    </row>
    <row r="191">
      <c r="A191" s="472" t="n"/>
      <c r="B191" s="472" t="n"/>
      <c r="C191" s="472" t="n"/>
      <c r="D191" s="472" t="n"/>
      <c r="E191" s="472" t="n"/>
      <c r="F191" s="472" t="n"/>
      <c r="G191" s="472" t="n"/>
      <c r="H191" s="472" t="n"/>
      <c r="I191" s="472" t="n"/>
      <c r="J191" s="472" t="n"/>
      <c r="K191" s="472" t="n"/>
      <c r="L191" s="472" t="n"/>
    </row>
    <row r="192">
      <c r="A192" s="472" t="n"/>
      <c r="B192" s="472" t="n"/>
      <c r="C192" s="472" t="n"/>
      <c r="D192" s="472" t="n"/>
      <c r="E192" s="472" t="n"/>
      <c r="F192" s="472" t="n"/>
      <c r="G192" s="472" t="n"/>
      <c r="H192" s="472" t="n"/>
      <c r="I192" s="472" t="n"/>
      <c r="J192" s="472" t="n"/>
      <c r="K192" s="472" t="n"/>
      <c r="L192" s="472" t="n"/>
    </row>
    <row r="193">
      <c r="A193" s="472" t="n"/>
      <c r="B193" s="472" t="n"/>
      <c r="C193" s="472" t="n"/>
      <c r="D193" s="472" t="n"/>
      <c r="E193" s="472" t="n"/>
      <c r="F193" s="472" t="n"/>
      <c r="G193" s="472" t="n"/>
      <c r="H193" s="472" t="n"/>
      <c r="I193" s="472" t="n"/>
      <c r="J193" s="472" t="n"/>
      <c r="K193" s="472" t="n"/>
      <c r="L193" s="472" t="n"/>
    </row>
    <row r="194">
      <c r="A194" s="472" t="n"/>
      <c r="B194" s="472" t="n"/>
      <c r="C194" s="472" t="n"/>
      <c r="D194" s="472" t="n"/>
      <c r="E194" s="472" t="n"/>
      <c r="F194" s="472" t="n"/>
      <c r="G194" s="472" t="n"/>
      <c r="H194" s="472" t="n"/>
      <c r="I194" s="472" t="n"/>
      <c r="J194" s="472" t="n"/>
      <c r="K194" s="472" t="n"/>
      <c r="L194" s="472" t="n"/>
    </row>
    <row r="195">
      <c r="A195" s="472" t="n"/>
      <c r="B195" s="472" t="n"/>
      <c r="C195" s="472" t="n"/>
      <c r="D195" s="472" t="n"/>
      <c r="E195" s="472" t="n"/>
      <c r="F195" s="472" t="n"/>
      <c r="G195" s="472" t="n"/>
      <c r="H195" s="472" t="n"/>
      <c r="I195" s="472" t="n"/>
      <c r="J195" s="472" t="n"/>
      <c r="K195" s="472" t="n"/>
      <c r="L195" s="472" t="n"/>
    </row>
    <row r="196">
      <c r="A196" s="472" t="n"/>
      <c r="B196" s="472" t="n"/>
      <c r="C196" s="472" t="n"/>
      <c r="D196" s="472" t="n"/>
      <c r="E196" s="472" t="n"/>
      <c r="F196" s="472" t="n"/>
      <c r="G196" s="472" t="n"/>
      <c r="H196" s="472" t="n"/>
      <c r="I196" s="472" t="n"/>
      <c r="J196" s="472" t="n"/>
      <c r="K196" s="472" t="n"/>
      <c r="L196" s="472" t="n"/>
    </row>
    <row r="197">
      <c r="A197" s="472" t="n"/>
      <c r="B197" s="472" t="n"/>
      <c r="C197" s="472" t="n"/>
      <c r="D197" s="472" t="n"/>
      <c r="E197" s="472" t="n"/>
      <c r="F197" s="472" t="n"/>
      <c r="G197" s="472" t="n"/>
      <c r="H197" s="472" t="n"/>
      <c r="I197" s="472" t="n"/>
      <c r="J197" s="472" t="n"/>
      <c r="K197" s="472" t="n"/>
      <c r="L197" s="472" t="n"/>
    </row>
    <row r="198">
      <c r="A198" s="472" t="n"/>
      <c r="B198" s="472" t="n"/>
      <c r="C198" s="472" t="n"/>
      <c r="D198" s="472" t="n"/>
      <c r="E198" s="472" t="n"/>
      <c r="F198" s="472" t="n"/>
      <c r="G198" s="472" t="n"/>
      <c r="H198" s="472" t="n"/>
      <c r="I198" s="472" t="n"/>
      <c r="J198" s="472" t="n"/>
      <c r="K198" s="472" t="n"/>
      <c r="L198" s="472" t="n"/>
    </row>
    <row r="199">
      <c r="A199" s="472" t="n"/>
      <c r="B199" s="472" t="n"/>
      <c r="C199" s="472" t="n"/>
      <c r="D199" s="472" t="n"/>
      <c r="E199" s="472" t="n"/>
      <c r="F199" s="472" t="n"/>
      <c r="G199" s="472" t="n"/>
      <c r="H199" s="472" t="n"/>
      <c r="I199" s="472" t="n"/>
      <c r="J199" s="472" t="n"/>
      <c r="K199" s="472" t="n"/>
      <c r="L199" s="472" t="n"/>
    </row>
    <row r="200">
      <c r="A200" s="472" t="n"/>
      <c r="B200" s="472" t="n"/>
      <c r="C200" s="472" t="n"/>
      <c r="D200" s="472" t="n"/>
      <c r="E200" s="472" t="n"/>
      <c r="F200" s="472" t="n"/>
      <c r="G200" s="472" t="n"/>
      <c r="H200" s="472" t="n"/>
      <c r="I200" s="472" t="n"/>
      <c r="J200" s="472" t="n"/>
      <c r="K200" s="472" t="n"/>
      <c r="L200" s="472" t="n"/>
    </row>
    <row r="201">
      <c r="A201" s="472" t="n"/>
      <c r="B201" s="472" t="n"/>
      <c r="C201" s="472" t="n"/>
      <c r="D201" s="472" t="n"/>
      <c r="E201" s="472" t="n"/>
      <c r="F201" s="472" t="n"/>
      <c r="G201" s="472" t="n"/>
      <c r="H201" s="472" t="n"/>
      <c r="I201" s="472" t="n"/>
      <c r="J201" s="472" t="n"/>
      <c r="K201" s="472" t="n"/>
      <c r="L201" s="472" t="n"/>
    </row>
    <row r="202">
      <c r="A202" s="472" t="n"/>
      <c r="B202" s="472" t="n"/>
      <c r="C202" s="472" t="n"/>
      <c r="D202" s="472" t="n"/>
      <c r="E202" s="472" t="n"/>
      <c r="F202" s="472" t="n"/>
      <c r="G202" s="472" t="n"/>
      <c r="H202" s="472" t="n"/>
      <c r="I202" s="472" t="n"/>
      <c r="J202" s="472" t="n"/>
      <c r="K202" s="472" t="n"/>
      <c r="L202" s="472" t="n"/>
    </row>
    <row r="203">
      <c r="A203" s="472" t="n"/>
      <c r="B203" s="472" t="n"/>
      <c r="C203" s="472" t="n"/>
      <c r="D203" s="472" t="n"/>
      <c r="E203" s="472" t="n"/>
      <c r="F203" s="472" t="n"/>
      <c r="G203" s="472" t="n"/>
      <c r="H203" s="472" t="n"/>
      <c r="I203" s="472" t="n"/>
      <c r="J203" s="472" t="n"/>
      <c r="K203" s="472" t="n"/>
      <c r="L203" s="472" t="n"/>
    </row>
    <row r="204">
      <c r="A204" s="472" t="n"/>
      <c r="B204" s="472" t="n"/>
      <c r="C204" s="472" t="n"/>
      <c r="D204" s="472" t="n"/>
      <c r="E204" s="472" t="n"/>
      <c r="F204" s="472" t="n"/>
      <c r="G204" s="472" t="n"/>
      <c r="H204" s="472" t="n"/>
      <c r="I204" s="472" t="n"/>
      <c r="J204" s="472" t="n"/>
      <c r="K204" s="472" t="n"/>
      <c r="L204" s="472" t="n"/>
    </row>
    <row r="205">
      <c r="A205" s="472" t="n"/>
      <c r="B205" s="472" t="n"/>
      <c r="C205" s="472" t="n"/>
      <c r="D205" s="472" t="n"/>
      <c r="E205" s="472" t="n"/>
      <c r="F205" s="472" t="n"/>
      <c r="G205" s="472" t="n"/>
      <c r="H205" s="472" t="n"/>
      <c r="I205" s="472" t="n"/>
      <c r="J205" s="472" t="n"/>
      <c r="K205" s="472" t="n"/>
      <c r="L205" s="472" t="n"/>
    </row>
    <row r="206">
      <c r="A206" s="472" t="n"/>
      <c r="B206" s="472" t="n"/>
      <c r="C206" s="472" t="n"/>
      <c r="D206" s="472" t="n"/>
      <c r="E206" s="472" t="n"/>
      <c r="F206" s="472" t="n"/>
      <c r="G206" s="472" t="n"/>
      <c r="H206" s="472" t="n"/>
      <c r="I206" s="472" t="n"/>
      <c r="J206" s="472" t="n"/>
      <c r="K206" s="472" t="n"/>
      <c r="L206" s="472" t="n"/>
    </row>
    <row r="207">
      <c r="A207" s="472" t="n"/>
      <c r="B207" s="472" t="n"/>
      <c r="C207" s="472" t="n"/>
      <c r="D207" s="472" t="n"/>
      <c r="E207" s="472" t="n"/>
      <c r="F207" s="472" t="n"/>
      <c r="G207" s="472" t="n"/>
      <c r="H207" s="472" t="n"/>
      <c r="I207" s="472" t="n"/>
      <c r="J207" s="472" t="n"/>
      <c r="K207" s="472" t="n"/>
      <c r="L207" s="472" t="n"/>
    </row>
    <row r="208">
      <c r="A208" s="472" t="n"/>
      <c r="B208" s="472" t="n"/>
      <c r="C208" s="472" t="n"/>
      <c r="D208" s="472" t="n"/>
      <c r="E208" s="472" t="n"/>
      <c r="F208" s="472" t="n"/>
      <c r="G208" s="472" t="n"/>
      <c r="H208" s="472" t="n"/>
      <c r="I208" s="472" t="n"/>
      <c r="J208" s="472" t="n"/>
      <c r="K208" s="472" t="n"/>
      <c r="L208" s="472" t="n"/>
    </row>
    <row r="209">
      <c r="A209" s="472" t="n"/>
      <c r="B209" s="472" t="n"/>
      <c r="C209" s="472" t="n"/>
      <c r="D209" s="472" t="n"/>
      <c r="E209" s="472" t="n"/>
      <c r="F209" s="472" t="n"/>
      <c r="G209" s="472" t="n"/>
      <c r="H209" s="472" t="n"/>
      <c r="I209" s="472" t="n"/>
      <c r="J209" s="472" t="n"/>
      <c r="K209" s="472" t="n"/>
      <c r="L209" s="472" t="n"/>
    </row>
    <row r="210">
      <c r="A210" s="472" t="n"/>
      <c r="B210" s="472" t="n"/>
      <c r="C210" s="472" t="n"/>
      <c r="D210" s="472" t="n"/>
      <c r="E210" s="472" t="n"/>
      <c r="F210" s="472" t="n"/>
      <c r="G210" s="472" t="n"/>
      <c r="H210" s="472" t="n"/>
      <c r="I210" s="472" t="n"/>
      <c r="J210" s="472" t="n"/>
      <c r="K210" s="472" t="n"/>
      <c r="L210" s="472" t="n"/>
    </row>
    <row r="211">
      <c r="A211" s="472" t="n"/>
      <c r="B211" s="472" t="n"/>
      <c r="C211" s="472" t="n"/>
      <c r="D211" s="472" t="n"/>
      <c r="E211" s="472" t="n"/>
      <c r="F211" s="472" t="n"/>
      <c r="G211" s="472" t="n"/>
      <c r="H211" s="472" t="n"/>
      <c r="I211" s="472" t="n"/>
      <c r="J211" s="472" t="n"/>
      <c r="K211" s="472" t="n"/>
      <c r="L211" s="472" t="n"/>
    </row>
    <row r="212">
      <c r="A212" s="472" t="n"/>
      <c r="B212" s="472" t="n"/>
      <c r="C212" s="472" t="n"/>
      <c r="D212" s="472" t="n"/>
      <c r="E212" s="472" t="n"/>
      <c r="F212" s="472" t="n"/>
      <c r="G212" s="472" t="n"/>
      <c r="H212" s="472" t="n"/>
      <c r="I212" s="472" t="n"/>
      <c r="J212" s="472" t="n"/>
      <c r="K212" s="472" t="n"/>
      <c r="L212" s="472" t="n"/>
    </row>
    <row r="213">
      <c r="A213" s="472" t="n"/>
      <c r="B213" s="472" t="n"/>
      <c r="C213" s="472" t="n"/>
      <c r="D213" s="472" t="n"/>
      <c r="E213" s="472" t="n"/>
      <c r="F213" s="472" t="n"/>
      <c r="G213" s="472" t="n"/>
      <c r="H213" s="472" t="n"/>
      <c r="I213" s="472" t="n"/>
      <c r="J213" s="472" t="n"/>
      <c r="K213" s="472" t="n"/>
      <c r="L213" s="472" t="n"/>
    </row>
    <row r="214">
      <c r="A214" s="472" t="n"/>
      <c r="B214" s="472" t="n"/>
      <c r="C214" s="472" t="n"/>
      <c r="D214" s="472" t="n"/>
      <c r="E214" s="472" t="n"/>
      <c r="F214" s="472" t="n"/>
      <c r="G214" s="472" t="n"/>
      <c r="H214" s="472" t="n"/>
      <c r="I214" s="472" t="n"/>
      <c r="J214" s="472" t="n"/>
      <c r="K214" s="472" t="n"/>
      <c r="L214" s="472" t="n"/>
    </row>
    <row r="215">
      <c r="A215" s="472" t="n"/>
      <c r="B215" s="472" t="n"/>
      <c r="C215" s="472" t="n"/>
      <c r="D215" s="472" t="n"/>
      <c r="E215" s="472" t="n"/>
      <c r="F215" s="472" t="n"/>
      <c r="G215" s="472" t="n"/>
      <c r="H215" s="472" t="n"/>
      <c r="I215" s="472" t="n"/>
      <c r="J215" s="472" t="n"/>
      <c r="K215" s="472" t="n"/>
      <c r="L215" s="472" t="n"/>
    </row>
    <row r="216">
      <c r="A216" s="472" t="n"/>
      <c r="B216" s="472" t="n"/>
      <c r="C216" s="472" t="n"/>
      <c r="D216" s="472" t="n"/>
      <c r="E216" s="472" t="n"/>
      <c r="F216" s="472" t="n"/>
      <c r="G216" s="472" t="n"/>
      <c r="H216" s="472" t="n"/>
      <c r="I216" s="472" t="n"/>
      <c r="J216" s="472" t="n"/>
      <c r="K216" s="472" t="n"/>
      <c r="L216" s="472" t="n"/>
    </row>
    <row r="217">
      <c r="A217" s="472" t="n"/>
      <c r="B217" s="472" t="n"/>
      <c r="C217" s="472" t="n"/>
      <c r="D217" s="472" t="n"/>
      <c r="E217" s="472" t="n"/>
      <c r="F217" s="472" t="n"/>
      <c r="G217" s="472" t="n"/>
      <c r="H217" s="472" t="n"/>
      <c r="I217" s="472" t="n"/>
      <c r="J217" s="472" t="n"/>
      <c r="K217" s="472" t="n"/>
      <c r="L217" s="472" t="n"/>
    </row>
    <row r="218">
      <c r="A218" s="472" t="n"/>
      <c r="B218" s="472" t="n"/>
      <c r="C218" s="472" t="n"/>
      <c r="D218" s="472" t="n"/>
      <c r="E218" s="472" t="n"/>
      <c r="F218" s="472" t="n"/>
      <c r="G218" s="472" t="n"/>
      <c r="H218" s="472" t="n"/>
      <c r="I218" s="472" t="n"/>
      <c r="J218" s="472" t="n"/>
      <c r="K218" s="472" t="n"/>
      <c r="L218" s="472" t="n"/>
    </row>
    <row r="219">
      <c r="A219" s="472" t="n"/>
      <c r="B219" s="472" t="n"/>
      <c r="C219" s="472" t="n"/>
      <c r="D219" s="472" t="n"/>
      <c r="E219" s="472" t="n"/>
      <c r="F219" s="472" t="n"/>
      <c r="G219" s="472" t="n"/>
      <c r="H219" s="472" t="n"/>
      <c r="I219" s="472" t="n"/>
      <c r="J219" s="472" t="n"/>
      <c r="K219" s="472" t="n"/>
      <c r="L219" s="472" t="n"/>
    </row>
    <row r="220">
      <c r="A220" s="472" t="n"/>
      <c r="B220" s="472" t="n"/>
      <c r="C220" s="472" t="n"/>
      <c r="D220" s="472" t="n"/>
      <c r="E220" s="472" t="n"/>
      <c r="F220" s="472" t="n"/>
      <c r="G220" s="472" t="n"/>
      <c r="H220" s="472" t="n"/>
      <c r="I220" s="472" t="n"/>
      <c r="J220" s="472" t="n"/>
      <c r="K220" s="472" t="n"/>
      <c r="L220" s="472" t="n"/>
    </row>
    <row r="221">
      <c r="A221" s="472" t="n"/>
      <c r="B221" s="472" t="n"/>
      <c r="C221" s="472" t="n"/>
      <c r="D221" s="472" t="n"/>
      <c r="E221" s="472" t="n"/>
      <c r="F221" s="472" t="n"/>
      <c r="G221" s="472" t="n"/>
      <c r="H221" s="472" t="n"/>
      <c r="I221" s="472" t="n"/>
      <c r="J221" s="472" t="n"/>
      <c r="K221" s="472" t="n"/>
      <c r="L221" s="472" t="n"/>
    </row>
    <row r="222">
      <c r="A222" s="472" t="n"/>
      <c r="B222" s="472" t="n"/>
      <c r="C222" s="472" t="n"/>
      <c r="D222" s="472" t="n"/>
      <c r="E222" s="472" t="n"/>
      <c r="F222" s="472" t="n"/>
      <c r="G222" s="472" t="n"/>
      <c r="H222" s="472" t="n"/>
      <c r="I222" s="472" t="n"/>
      <c r="J222" s="472" t="n"/>
      <c r="K222" s="472" t="n"/>
      <c r="L222" s="472" t="n"/>
    </row>
    <row r="223">
      <c r="A223" s="472" t="n"/>
      <c r="B223" s="472" t="n"/>
      <c r="C223" s="472" t="n"/>
      <c r="D223" s="472" t="n"/>
      <c r="E223" s="472" t="n"/>
      <c r="F223" s="472" t="n"/>
      <c r="G223" s="472" t="n"/>
      <c r="H223" s="472" t="n"/>
      <c r="I223" s="472" t="n"/>
      <c r="J223" s="472" t="n"/>
      <c r="K223" s="472" t="n"/>
      <c r="L223" s="472" t="n"/>
    </row>
    <row r="224">
      <c r="A224" s="472" t="n"/>
      <c r="B224" s="472" t="n"/>
      <c r="C224" s="472" t="n"/>
      <c r="D224" s="472" t="n"/>
      <c r="E224" s="472" t="n"/>
      <c r="F224" s="472" t="n"/>
      <c r="G224" s="472" t="n"/>
      <c r="H224" s="472" t="n"/>
      <c r="I224" s="472" t="n"/>
      <c r="J224" s="472" t="n"/>
      <c r="K224" s="472" t="n"/>
      <c r="L224" s="472" t="n"/>
    </row>
    <row r="225">
      <c r="A225" s="472" t="n"/>
      <c r="B225" s="472" t="n"/>
      <c r="C225" s="472" t="n"/>
      <c r="D225" s="472" t="n"/>
      <c r="E225" s="472" t="n"/>
      <c r="F225" s="472" t="n"/>
      <c r="G225" s="472" t="n"/>
      <c r="H225" s="472" t="n"/>
      <c r="I225" s="472" t="n"/>
      <c r="J225" s="472" t="n"/>
      <c r="K225" s="472" t="n"/>
      <c r="L225" s="472" t="n"/>
    </row>
    <row r="226">
      <c r="A226" s="472" t="n"/>
      <c r="B226" s="472" t="n"/>
      <c r="C226" s="472" t="n"/>
      <c r="D226" s="472" t="n"/>
      <c r="E226" s="472" t="n"/>
      <c r="F226" s="472" t="n"/>
      <c r="G226" s="472" t="n"/>
      <c r="H226" s="472" t="n"/>
      <c r="I226" s="472" t="n"/>
      <c r="J226" s="472" t="n"/>
      <c r="K226" s="472" t="n"/>
      <c r="L226" s="472" t="n"/>
    </row>
    <row r="227">
      <c r="A227" s="472" t="n"/>
      <c r="B227" s="472" t="n"/>
      <c r="C227" s="472" t="n"/>
      <c r="D227" s="472" t="n"/>
      <c r="E227" s="472" t="n"/>
      <c r="F227" s="472" t="n"/>
      <c r="G227" s="472" t="n"/>
      <c r="H227" s="472" t="n"/>
      <c r="I227" s="472" t="n"/>
      <c r="J227" s="472" t="n"/>
      <c r="K227" s="472" t="n"/>
      <c r="L227" s="472" t="n"/>
    </row>
    <row r="228">
      <c r="A228" s="472" t="n"/>
      <c r="B228" s="472" t="n"/>
      <c r="C228" s="472" t="n"/>
      <c r="D228" s="472" t="n"/>
      <c r="E228" s="472" t="n"/>
      <c r="F228" s="472" t="n"/>
      <c r="G228" s="472" t="n"/>
      <c r="H228" s="472" t="n"/>
      <c r="I228" s="472" t="n"/>
      <c r="J228" s="472" t="n"/>
      <c r="K228" s="472" t="n"/>
      <c r="L228" s="472" t="n"/>
    </row>
    <row r="229">
      <c r="A229" s="472" t="n"/>
      <c r="B229" s="472" t="n"/>
      <c r="C229" s="472" t="n"/>
      <c r="D229" s="472" t="n"/>
      <c r="E229" s="472" t="n"/>
      <c r="F229" s="472" t="n"/>
      <c r="G229" s="472" t="n"/>
      <c r="H229" s="472" t="n"/>
      <c r="I229" s="472" t="n"/>
      <c r="J229" s="472" t="n"/>
      <c r="K229" s="472" t="n"/>
      <c r="L229" s="472" t="n"/>
    </row>
    <row r="230">
      <c r="A230" s="472" t="n"/>
      <c r="B230" s="472" t="n"/>
      <c r="C230" s="472" t="n"/>
      <c r="D230" s="472" t="n"/>
      <c r="E230" s="472" t="n"/>
      <c r="F230" s="472" t="n"/>
      <c r="G230" s="472" t="n"/>
      <c r="H230" s="472" t="n"/>
      <c r="I230" s="472" t="n"/>
      <c r="J230" s="472" t="n"/>
      <c r="K230" s="472" t="n"/>
      <c r="L230" s="472" t="n"/>
    </row>
    <row r="231">
      <c r="A231" s="472" t="n"/>
      <c r="B231" s="472" t="n"/>
      <c r="C231" s="472" t="n"/>
      <c r="D231" s="472" t="n"/>
      <c r="E231" s="472" t="n"/>
      <c r="F231" s="472" t="n"/>
      <c r="G231" s="472" t="n"/>
      <c r="H231" s="472" t="n"/>
      <c r="I231" s="472" t="n"/>
      <c r="J231" s="472" t="n"/>
      <c r="K231" s="472" t="n"/>
      <c r="L231" s="472" t="n"/>
    </row>
    <row r="232">
      <c r="A232" s="472" t="n"/>
      <c r="B232" s="472" t="n"/>
      <c r="C232" s="472" t="n"/>
      <c r="D232" s="472" t="n"/>
      <c r="E232" s="472" t="n"/>
      <c r="F232" s="472" t="n"/>
      <c r="G232" s="472" t="n"/>
      <c r="H232" s="472" t="n"/>
      <c r="I232" s="472" t="n"/>
      <c r="J232" s="472" t="n"/>
      <c r="K232" s="472" t="n"/>
      <c r="L232" s="472" t="n"/>
    </row>
    <row r="233">
      <c r="A233" s="472" t="n"/>
      <c r="B233" s="472" t="n"/>
      <c r="C233" s="472" t="n"/>
      <c r="D233" s="472" t="n"/>
      <c r="E233" s="472" t="n"/>
      <c r="F233" s="472" t="n"/>
      <c r="G233" s="472" t="n"/>
      <c r="H233" s="472" t="n"/>
      <c r="I233" s="472" t="n"/>
      <c r="J233" s="472" t="n"/>
      <c r="K233" s="472" t="n"/>
      <c r="L233" s="472" t="n"/>
    </row>
    <row r="234">
      <c r="A234" s="472" t="n"/>
      <c r="B234" s="472" t="n"/>
      <c r="C234" s="472" t="n"/>
      <c r="D234" s="472" t="n"/>
      <c r="E234" s="472" t="n"/>
      <c r="F234" s="472" t="n"/>
      <c r="G234" s="472" t="n"/>
      <c r="H234" s="472" t="n"/>
      <c r="I234" s="472" t="n"/>
      <c r="J234" s="472" t="n"/>
      <c r="K234" s="472" t="n"/>
      <c r="L234" s="472" t="n"/>
    </row>
    <row r="235">
      <c r="A235" s="472" t="n"/>
      <c r="B235" s="472" t="n"/>
      <c r="C235" s="472" t="n"/>
      <c r="D235" s="472" t="n"/>
      <c r="E235" s="472" t="n"/>
      <c r="F235" s="472" t="n"/>
      <c r="G235" s="472" t="n"/>
      <c r="H235" s="472" t="n"/>
      <c r="I235" s="472" t="n"/>
      <c r="J235" s="472" t="n"/>
      <c r="K235" s="472" t="n"/>
      <c r="L235" s="472" t="n"/>
    </row>
    <row r="236">
      <c r="A236" s="472" t="n"/>
      <c r="B236" s="472" t="n"/>
      <c r="C236" s="472" t="n"/>
      <c r="D236" s="472" t="n"/>
      <c r="E236" s="472" t="n"/>
      <c r="F236" s="472" t="n"/>
      <c r="G236" s="472" t="n"/>
      <c r="H236" s="472" t="n"/>
      <c r="I236" s="472" t="n"/>
      <c r="J236" s="472" t="n"/>
      <c r="K236" s="472" t="n"/>
      <c r="L236" s="472" t="n"/>
    </row>
    <row r="237">
      <c r="A237" s="472" t="n"/>
      <c r="B237" s="472" t="n"/>
      <c r="C237" s="472" t="n"/>
      <c r="D237" s="472" t="n"/>
      <c r="E237" s="472" t="n"/>
      <c r="F237" s="472" t="n"/>
      <c r="G237" s="472" t="n"/>
      <c r="H237" s="472" t="n"/>
      <c r="I237" s="472" t="n"/>
      <c r="J237" s="472" t="n"/>
      <c r="K237" s="472" t="n"/>
      <c r="L237" s="472" t="n"/>
    </row>
    <row r="238">
      <c r="A238" s="472" t="n"/>
      <c r="B238" s="472" t="n"/>
      <c r="C238" s="472" t="n"/>
      <c r="D238" s="472" t="n"/>
      <c r="E238" s="472" t="n"/>
      <c r="F238" s="472" t="n"/>
      <c r="G238" s="472" t="n"/>
      <c r="H238" s="472" t="n"/>
      <c r="I238" s="472" t="n"/>
      <c r="J238" s="472" t="n"/>
      <c r="K238" s="472" t="n"/>
      <c r="L238" s="472" t="n"/>
    </row>
    <row r="239">
      <c r="A239" s="472" t="n"/>
      <c r="B239" s="472" t="n"/>
      <c r="C239" s="472" t="n"/>
      <c r="D239" s="472" t="n"/>
      <c r="E239" s="472" t="n"/>
      <c r="F239" s="472" t="n"/>
      <c r="G239" s="472" t="n"/>
      <c r="H239" s="472" t="n"/>
      <c r="I239" s="472" t="n"/>
      <c r="J239" s="472" t="n"/>
      <c r="K239" s="472" t="n"/>
      <c r="L239" s="472" t="n"/>
    </row>
    <row r="240">
      <c r="A240" s="472" t="n"/>
      <c r="B240" s="472" t="n"/>
      <c r="C240" s="472" t="n"/>
      <c r="D240" s="472" t="n"/>
      <c r="E240" s="472" t="n"/>
      <c r="F240" s="472" t="n"/>
      <c r="G240" s="472" t="n"/>
      <c r="H240" s="472" t="n"/>
      <c r="I240" s="472" t="n"/>
      <c r="J240" s="472" t="n"/>
      <c r="K240" s="472" t="n"/>
      <c r="L240" s="472" t="n"/>
    </row>
    <row r="241">
      <c r="A241" s="472" t="n"/>
      <c r="B241" s="472" t="n"/>
      <c r="C241" s="472" t="n"/>
      <c r="D241" s="472" t="n"/>
      <c r="E241" s="472" t="n"/>
      <c r="F241" s="472" t="n"/>
      <c r="G241" s="472" t="n"/>
      <c r="H241" s="472" t="n"/>
      <c r="I241" s="472" t="n"/>
      <c r="J241" s="472" t="n"/>
      <c r="K241" s="472" t="n"/>
      <c r="L241" s="472" t="n"/>
    </row>
    <row r="242">
      <c r="A242" s="472" t="n"/>
      <c r="B242" s="472" t="n"/>
      <c r="C242" s="472" t="n"/>
      <c r="D242" s="472" t="n"/>
      <c r="E242" s="472" t="n"/>
      <c r="F242" s="472" t="n"/>
      <c r="G242" s="472" t="n"/>
      <c r="H242" s="472" t="n"/>
      <c r="I242" s="472" t="n"/>
      <c r="J242" s="472" t="n"/>
      <c r="K242" s="472" t="n"/>
      <c r="L242" s="472" t="n"/>
    </row>
    <row r="243">
      <c r="A243" s="472" t="n"/>
      <c r="B243" s="472" t="n"/>
      <c r="C243" s="472" t="n"/>
      <c r="D243" s="472" t="n"/>
      <c r="E243" s="472" t="n"/>
      <c r="F243" s="472" t="n"/>
      <c r="G243" s="472" t="n"/>
      <c r="H243" s="472" t="n"/>
      <c r="I243" s="472" t="n"/>
      <c r="J243" s="472" t="n"/>
      <c r="K243" s="472" t="n"/>
      <c r="L243" s="472" t="n"/>
    </row>
    <row r="244">
      <c r="A244" s="472" t="n"/>
      <c r="B244" s="472" t="n"/>
      <c r="C244" s="472" t="n"/>
      <c r="D244" s="472" t="n"/>
      <c r="E244" s="472" t="n"/>
      <c r="F244" s="472" t="n"/>
      <c r="G244" s="472" t="n"/>
      <c r="H244" s="472" t="n"/>
      <c r="I244" s="472" t="n"/>
      <c r="J244" s="472" t="n"/>
      <c r="K244" s="472" t="n"/>
      <c r="L244" s="472" t="n"/>
    </row>
  </sheetData>
  <mergeCells count="182">
    <mergeCell ref="D20:E20"/>
    <mergeCell ref="D86:L86"/>
    <mergeCell ref="D95:L95"/>
    <mergeCell ref="A80:C80"/>
    <mergeCell ref="A46:C46"/>
    <mergeCell ref="A89:C89"/>
    <mergeCell ref="J27:L27"/>
    <mergeCell ref="A1:L5"/>
    <mergeCell ref="J35:L35"/>
    <mergeCell ref="A105:C105"/>
    <mergeCell ref="A57:C57"/>
    <mergeCell ref="H11:J11"/>
    <mergeCell ref="A113:C113"/>
    <mergeCell ref="J25:L25"/>
    <mergeCell ref="D78:L78"/>
    <mergeCell ref="D112:L112"/>
    <mergeCell ref="A71:L71"/>
    <mergeCell ref="G57:H57"/>
    <mergeCell ref="G66:H66"/>
    <mergeCell ref="A91:C91"/>
    <mergeCell ref="D114:L114"/>
    <mergeCell ref="A52:C52"/>
    <mergeCell ref="D98:L98"/>
    <mergeCell ref="A63:C63"/>
    <mergeCell ref="D73:L73"/>
    <mergeCell ref="A93:C93"/>
    <mergeCell ref="D113:L113"/>
    <mergeCell ref="A115:L115"/>
    <mergeCell ref="G58:H58"/>
    <mergeCell ref="J39:L39"/>
    <mergeCell ref="D88:L88"/>
    <mergeCell ref="A77:C77"/>
    <mergeCell ref="G43:H44"/>
    <mergeCell ref="A83:C83"/>
    <mergeCell ref="J29:L29"/>
    <mergeCell ref="J38:L38"/>
    <mergeCell ref="A49:C49"/>
    <mergeCell ref="D90:L90"/>
    <mergeCell ref="A110:C110"/>
    <mergeCell ref="D99:L99"/>
    <mergeCell ref="J40:L40"/>
    <mergeCell ref="A9:B9"/>
    <mergeCell ref="A69:L69"/>
    <mergeCell ref="D101:L101"/>
    <mergeCell ref="G59:H59"/>
    <mergeCell ref="J24:L24"/>
    <mergeCell ref="A66:C66"/>
    <mergeCell ref="D76:L76"/>
    <mergeCell ref="A75:C75"/>
    <mergeCell ref="C8:I8"/>
    <mergeCell ref="A11:B11"/>
    <mergeCell ref="G61:H61"/>
    <mergeCell ref="J26:L26"/>
    <mergeCell ref="A55:C55"/>
    <mergeCell ref="D75:L75"/>
    <mergeCell ref="G48:H48"/>
    <mergeCell ref="A95:C95"/>
    <mergeCell ref="A104:C104"/>
    <mergeCell ref="J41:L41"/>
    <mergeCell ref="D103:L103"/>
    <mergeCell ref="F20:G20"/>
    <mergeCell ref="A97:C97"/>
    <mergeCell ref="A106:C106"/>
    <mergeCell ref="G62:H62"/>
    <mergeCell ref="A81:C81"/>
    <mergeCell ref="A96:C96"/>
    <mergeCell ref="G49:H49"/>
    <mergeCell ref="J33:L33"/>
    <mergeCell ref="C13:E13"/>
    <mergeCell ref="D89:L89"/>
    <mergeCell ref="A58:C58"/>
    <mergeCell ref="G65:H65"/>
    <mergeCell ref="D79:L79"/>
    <mergeCell ref="A8:B8"/>
    <mergeCell ref="J20:L21"/>
    <mergeCell ref="A73:C73"/>
    <mergeCell ref="A51:C51"/>
    <mergeCell ref="A82:C82"/>
    <mergeCell ref="A60:C60"/>
    <mergeCell ref="J28:L28"/>
    <mergeCell ref="D81:L81"/>
    <mergeCell ref="J37:L37"/>
    <mergeCell ref="D96:L96"/>
    <mergeCell ref="G60:H60"/>
    <mergeCell ref="D105:L105"/>
    <mergeCell ref="J30:L30"/>
    <mergeCell ref="A99:C99"/>
    <mergeCell ref="A108:C108"/>
    <mergeCell ref="A84:C84"/>
    <mergeCell ref="D107:L107"/>
    <mergeCell ref="A101:C101"/>
    <mergeCell ref="A50:C50"/>
    <mergeCell ref="D91:L91"/>
    <mergeCell ref="A86:C86"/>
    <mergeCell ref="C11:E11"/>
    <mergeCell ref="J32:L32"/>
    <mergeCell ref="D106:L106"/>
    <mergeCell ref="A47:C47"/>
    <mergeCell ref="D93:L93"/>
    <mergeCell ref="D102:L102"/>
    <mergeCell ref="J8:K8"/>
    <mergeCell ref="A62:C62"/>
    <mergeCell ref="D83:L83"/>
    <mergeCell ref="A20:C20"/>
    <mergeCell ref="D92:L92"/>
    <mergeCell ref="A112:C112"/>
    <mergeCell ref="A72:L72"/>
    <mergeCell ref="D43:D44"/>
    <mergeCell ref="F43:F44"/>
    <mergeCell ref="D85:L85"/>
    <mergeCell ref="D94:L94"/>
    <mergeCell ref="A114:C114"/>
    <mergeCell ref="A59:C59"/>
    <mergeCell ref="G64:H64"/>
    <mergeCell ref="D109:L109"/>
    <mergeCell ref="A64:C64"/>
    <mergeCell ref="G51:H51"/>
    <mergeCell ref="A98:C98"/>
    <mergeCell ref="A107:C107"/>
    <mergeCell ref="G54:H54"/>
    <mergeCell ref="A79:C79"/>
    <mergeCell ref="G63:H63"/>
    <mergeCell ref="A61:C61"/>
    <mergeCell ref="A88:C88"/>
    <mergeCell ref="D111:L111"/>
    <mergeCell ref="G50:H50"/>
    <mergeCell ref="D80:L80"/>
    <mergeCell ref="A70:L70"/>
    <mergeCell ref="J34:L34"/>
    <mergeCell ref="G56:H56"/>
    <mergeCell ref="A54:C54"/>
    <mergeCell ref="D104:L104"/>
    <mergeCell ref="A90:C90"/>
    <mergeCell ref="E43:E44"/>
    <mergeCell ref="A7:L7"/>
    <mergeCell ref="H20:I20"/>
    <mergeCell ref="G52:H52"/>
    <mergeCell ref="J36:L36"/>
    <mergeCell ref="A74:C74"/>
    <mergeCell ref="C9:K9"/>
    <mergeCell ref="D97:L97"/>
    <mergeCell ref="A56:C56"/>
    <mergeCell ref="A43:C44"/>
    <mergeCell ref="D87:L87"/>
    <mergeCell ref="A6:K6"/>
    <mergeCell ref="A76:C76"/>
    <mergeCell ref="A85:C85"/>
    <mergeCell ref="J22:L22"/>
    <mergeCell ref="A116:L116"/>
    <mergeCell ref="J15:K15"/>
    <mergeCell ref="J31:L31"/>
    <mergeCell ref="G53:H53"/>
    <mergeCell ref="A100:C100"/>
    <mergeCell ref="A53:C53"/>
    <mergeCell ref="A109:C109"/>
    <mergeCell ref="D74:L74"/>
    <mergeCell ref="D82:L82"/>
    <mergeCell ref="A102:C102"/>
    <mergeCell ref="A19:L19"/>
    <mergeCell ref="A68:L68"/>
    <mergeCell ref="A111:C111"/>
    <mergeCell ref="A117:L117"/>
    <mergeCell ref="J23:L23"/>
    <mergeCell ref="G45:H45"/>
    <mergeCell ref="A92:C92"/>
    <mergeCell ref="D110:L110"/>
    <mergeCell ref="A48:C48"/>
    <mergeCell ref="G55:H55"/>
    <mergeCell ref="D100:L100"/>
    <mergeCell ref="G47:H47"/>
    <mergeCell ref="A94:C94"/>
    <mergeCell ref="A103:C103"/>
    <mergeCell ref="A45:C45"/>
    <mergeCell ref="D84:L84"/>
    <mergeCell ref="A13:B13"/>
    <mergeCell ref="A78:C78"/>
    <mergeCell ref="G46:H46"/>
    <mergeCell ref="A87:C87"/>
    <mergeCell ref="A65:C65"/>
    <mergeCell ref="D77:L77"/>
    <mergeCell ref="J17:K17"/>
    <mergeCell ref="D108:L108"/>
  </mergeCells>
  <hyperlinks>
    <hyperlink xmlns:r="http://schemas.openxmlformats.org/officeDocument/2006/relationships" ref="J8" r:id="rId1"/>
  </hyperlinks>
  <printOptions horizontalCentered="1" gridLines="1"/>
  <pageMargins left="0.7" right="0.7" top="0.75" bottom="0.75" header="0" footer="0"/>
  <pageSetup orientation="portrait" paperSize="9" pageOrder="overThenDown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FF00FF00"/>
    <outlinePr summaryBelow="0" summaryRight="0"/>
    <pageSetUpPr fitToPage="1"/>
  </sheetPr>
  <dimension ref="A1:K27"/>
  <sheetViews>
    <sheetView workbookViewId="0">
      <selection activeCell="A1" sqref="A1"/>
    </sheetView>
  </sheetViews>
  <sheetFormatPr baseColWidth="8" defaultColWidth="12.63" defaultRowHeight="15.75" customHeight="1"/>
  <cols>
    <col width="10.25" customWidth="1" style="592" min="1" max="1"/>
    <col width="15.75" customWidth="1" style="592" min="2" max="2"/>
    <col width="34.63" customWidth="1" style="592" min="3" max="3"/>
    <col width="9.380000000000001" customWidth="1" style="592" min="4" max="4"/>
    <col width="9.5" customWidth="1" style="592" min="5" max="5"/>
    <col width="8.880000000000001" customWidth="1" style="592" min="6" max="7"/>
    <col width="9.75" customWidth="1" style="592" min="8" max="9"/>
  </cols>
  <sheetData>
    <row r="1" ht="11.25" customHeight="1" s="592">
      <c r="A1" s="473" t="n"/>
    </row>
    <row r="2" ht="11.25" customHeight="1" s="592"/>
    <row r="3" ht="11.25" customHeight="1" s="592"/>
    <row r="4" ht="11.25" customHeight="1" s="592"/>
    <row r="5" ht="11.25" customHeight="1" s="592"/>
    <row r="6" ht="8.25" customHeight="1" s="592">
      <c r="A6" s="391" t="n"/>
    </row>
    <row r="7">
      <c r="A7" s="392" t="inlineStr">
        <is>
          <t>เอกสารแนบแบบรายงานผลปิดจบโครงการ (Final report)
ประจำปีงบประมาณ 2570</t>
        </is>
      </c>
    </row>
    <row r="8">
      <c r="A8" s="393" t="inlineStr">
        <is>
          <t>หน่วยงาน</t>
        </is>
      </c>
      <c r="C8" s="474">
        <f>'โครงการ'!D4</f>
        <v/>
      </c>
    </row>
    <row r="9">
      <c r="A9" s="475">
        <f>'โครงการ'!D6</f>
        <v/>
      </c>
      <c r="C9" s="476">
        <f>'โครงการ'!D7</f>
        <v/>
      </c>
    </row>
    <row r="10">
      <c r="A10" s="403" t="inlineStr">
        <is>
          <t>หัวหน้าโครงการ</t>
        </is>
      </c>
      <c r="C10" s="673">
        <f>'Final Report'!C11</f>
        <v/>
      </c>
      <c r="D10" s="595" t="n"/>
      <c r="E10" s="595" t="n"/>
      <c r="F10" s="595" t="n"/>
      <c r="G10" s="595" t="n"/>
      <c r="H10" s="596" t="n"/>
      <c r="I10" s="403" t="n"/>
    </row>
    <row r="11">
      <c r="A11" s="400" t="inlineStr">
        <is>
          <t>ชื่อผู้รายงานผล</t>
        </is>
      </c>
      <c r="C11" s="673" t="n"/>
      <c r="D11" s="595" t="n"/>
      <c r="E11" s="595" t="n"/>
      <c r="F11" s="595" t="n"/>
      <c r="G11" s="595" t="n"/>
      <c r="H11" s="596" t="n"/>
      <c r="I11" s="417" t="n"/>
    </row>
    <row r="12" ht="8.25" customHeight="1" s="592">
      <c r="A12" s="413" t="n"/>
      <c r="B12" s="413" t="n"/>
      <c r="C12" s="417" t="n"/>
      <c r="D12" s="417" t="n"/>
      <c r="E12" s="417" t="n"/>
      <c r="F12" s="417" t="n"/>
      <c r="G12" s="406" t="n"/>
      <c r="H12" s="417" t="n"/>
      <c r="I12" s="417" t="n"/>
      <c r="J12" s="414" t="n"/>
      <c r="K12" s="414" t="n"/>
    </row>
    <row r="13" ht="8.25" customHeight="1" s="592">
      <c r="A13" s="674" t="n"/>
      <c r="B13" s="595" t="n"/>
      <c r="C13" s="595" t="n"/>
      <c r="D13" s="595" t="n"/>
      <c r="E13" s="595" t="n"/>
      <c r="F13" s="595" t="n"/>
      <c r="G13" s="595" t="n"/>
      <c r="H13" s="595" t="n"/>
      <c r="I13" s="595" t="n"/>
      <c r="J13" s="595" t="n"/>
      <c r="K13" s="596" t="n"/>
    </row>
    <row r="14">
      <c r="A14" s="479" t="inlineStr">
        <is>
          <t>เอกสารแนบ</t>
        </is>
      </c>
    </row>
    <row r="15">
      <c r="A15" s="480" t="inlineStr">
        <is>
          <t>รายการ</t>
        </is>
      </c>
      <c r="B15" s="480" t="inlineStr">
        <is>
          <t>รายละเอียด</t>
        </is>
      </c>
      <c r="C15" s="675" t="n"/>
      <c r="D15" s="480" t="inlineStr">
        <is>
          <t>ลิ้งก์ไฟล์ใบเหลือง/ใบฟ้า</t>
        </is>
      </c>
      <c r="K15" s="675" t="n"/>
    </row>
    <row r="16">
      <c r="A16" s="483" t="n">
        <v>1</v>
      </c>
      <c r="B16" s="676" t="n"/>
      <c r="C16" s="675" t="n"/>
      <c r="D16" s="677" t="n"/>
      <c r="K16" s="675" t="n"/>
    </row>
    <row r="17">
      <c r="A17" s="483" t="n">
        <v>2</v>
      </c>
      <c r="B17" s="676" t="n"/>
      <c r="C17" s="675" t="n"/>
      <c r="D17" s="677" t="n"/>
      <c r="K17" s="675" t="n"/>
    </row>
    <row r="18">
      <c r="A18" s="483" t="n">
        <v>3</v>
      </c>
      <c r="B18" s="676" t="n"/>
      <c r="C18" s="675" t="n"/>
      <c r="D18" s="677" t="n"/>
      <c r="K18" s="675" t="n"/>
    </row>
    <row r="19">
      <c r="A19" s="483" t="n">
        <v>4</v>
      </c>
      <c r="B19" s="676" t="n"/>
      <c r="C19" s="675" t="n"/>
      <c r="D19" s="677" t="n"/>
      <c r="K19" s="675" t="n"/>
    </row>
    <row r="20">
      <c r="A20" s="483" t="n">
        <v>5</v>
      </c>
      <c r="B20" s="676" t="n"/>
      <c r="C20" s="675" t="n"/>
      <c r="D20" s="677" t="n"/>
      <c r="K20" s="675" t="n"/>
    </row>
    <row r="21" ht="7.5" customHeight="1" s="592">
      <c r="A21" s="678" t="n"/>
      <c r="B21" s="640" t="n"/>
      <c r="C21" s="640" t="n"/>
      <c r="D21" s="640" t="n"/>
      <c r="E21" s="640" t="n"/>
      <c r="F21" s="640" t="n"/>
      <c r="G21" s="640" t="n"/>
      <c r="H21" s="640" t="n"/>
      <c r="I21" s="640" t="n"/>
      <c r="J21" s="640" t="n"/>
      <c r="K21" s="641" t="n"/>
    </row>
    <row r="22" ht="21" customHeight="1" s="592">
      <c r="A22" s="489" t="inlineStr">
        <is>
          <t xml:space="preserve">ตัวอย่าง เอกสารแนบ (ใบเหลือง/ใบฟ้า) กรุณาเปิดสิทธิ์การเข้าถึงเอกสารแนบให้ budget.planning@mfu.ac.th </t>
        </is>
      </c>
    </row>
    <row r="23" ht="19.5" customHeight="1" s="592">
      <c r="A23" s="492" t="n"/>
      <c r="B23" s="491" t="inlineStr">
        <is>
          <t>หมายเหตุ (เพิ่มเติม)</t>
        </is>
      </c>
    </row>
    <row r="24" ht="19.5" customHeight="1" s="592">
      <c r="A24" s="492" t="n"/>
      <c r="B24" s="571" t="inlineStr">
        <is>
          <t xml:space="preserve">1) กรณีไม่มีสัญญาเงินทดรองจ่าย (ใบเหลือง) หรือใบเบิกเงินสำรองจ่าย (ใบฟ้า) ให้หน่วยงานแนบเอกสาร “ขออนุมัติดำเนินงานโครงการหรืองาน" ที่ระบุระยะเวลาในการดำเนินงาน </t>
        </is>
      </c>
    </row>
    <row r="25" ht="19.5" customHeight="1" s="592">
      <c r="A25" s="492" t="n"/>
      <c r="B25" s="571" t="inlineStr">
        <is>
          <t>2) กรณียกเลิก/คืนงบ ให้หน่วยงานแนบเอกสารบันทึกข้อความที่ได้ขอยกเลิก/คืนงบประมาณ พร้อมระบุเหตุผลให้ชัดเจน</t>
        </is>
      </c>
    </row>
    <row r="26" ht="19.5" customHeight="1" s="592">
      <c r="A26" s="492" t="n"/>
      <c r="B26" s="571" t="inlineStr">
        <is>
          <t xml:space="preserve">3) กรณีขยายการดำเนินงาน หากดำเนินงานไม่แล้วเสร็จในปีงบประมาณนั้น จำนวนโครงการและงานดังกล่าวจะถูกนับรวมในปีงบประมาณถัดไป โดยให้หน่วยงานระบุเหตุผลให้ชัดเจน                                                                        </t>
        </is>
      </c>
    </row>
    <row r="27">
      <c r="A27" s="493" t="n"/>
      <c r="B27" s="494" t="n"/>
    </row>
  </sheetData>
  <mergeCells count="34">
    <mergeCell ref="D20:K20"/>
    <mergeCell ref="C10:H10"/>
    <mergeCell ref="B16:C16"/>
    <mergeCell ref="D19:K19"/>
    <mergeCell ref="A11:B11"/>
    <mergeCell ref="C9:K9"/>
    <mergeCell ref="B24:K24"/>
    <mergeCell ref="B18:C18"/>
    <mergeCell ref="A6:K6"/>
    <mergeCell ref="C11:H11"/>
    <mergeCell ref="B26:K26"/>
    <mergeCell ref="A7:K7"/>
    <mergeCell ref="B25:K25"/>
    <mergeCell ref="C8:K8"/>
    <mergeCell ref="A1:K5"/>
    <mergeCell ref="B17:C17"/>
    <mergeCell ref="D17:K17"/>
    <mergeCell ref="I10:K10"/>
    <mergeCell ref="A21:K21"/>
    <mergeCell ref="D16:K16"/>
    <mergeCell ref="B27:K27"/>
    <mergeCell ref="B19:C19"/>
    <mergeCell ref="A14:K14"/>
    <mergeCell ref="A8:B8"/>
    <mergeCell ref="D18:K18"/>
    <mergeCell ref="I11:K11"/>
    <mergeCell ref="A22:K22"/>
    <mergeCell ref="B23:K23"/>
    <mergeCell ref="B15:C15"/>
    <mergeCell ref="D15:K15"/>
    <mergeCell ref="B20:C20"/>
    <mergeCell ref="A10:B10"/>
    <mergeCell ref="A13:K13"/>
    <mergeCell ref="A9:B9"/>
  </mergeCells>
  <hyperlinks>
    <hyperlink xmlns:r="http://schemas.openxmlformats.org/officeDocument/2006/relationships" ref="A22" r:id="rId1"/>
  </hyperlinks>
  <printOptions horizontalCentered="1" gridLines="1"/>
  <pageMargins left="0.7" right="0.7" top="0.75" bottom="0.75" header="0" footer="0"/>
  <pageSetup orientation="portrait" paperSize="9" pageOrder="overThenDown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O30"/>
  <sheetViews>
    <sheetView workbookViewId="0">
      <selection activeCell="A1" sqref="A1"/>
    </sheetView>
  </sheetViews>
  <sheetFormatPr baseColWidth="8" defaultColWidth="12.63" defaultRowHeight="15.75" customHeight="1"/>
  <cols>
    <col width="37.63" customWidth="1" style="592" min="1" max="1"/>
    <col width="3.88" customWidth="1" style="592" min="2" max="5"/>
    <col width="29.5" customWidth="1" style="592" min="6" max="6"/>
    <col width="3.88" customWidth="1" style="592" min="7" max="10"/>
    <col width="37.63" customWidth="1" style="592" min="11" max="11"/>
    <col width="3.88" customWidth="1" style="592" min="12" max="13"/>
    <col width="37.63" customWidth="1" style="592" min="14" max="14"/>
    <col width="3.88" customWidth="1" style="592" min="15" max="15"/>
  </cols>
  <sheetData>
    <row r="1">
      <c r="A1" s="508" t="inlineStr">
        <is>
          <t>แผนปฏิบัติการป้องกันการทุจริต แผนปฏิบัติการด้านการต่อต้านการทุจริตและประพฤติมิชอบ ระยะที่ 2 (พ.ศ.2566-2570)</t>
        </is>
      </c>
      <c r="B1" s="496" t="n"/>
      <c r="C1" s="497" t="n"/>
      <c r="D1" s="498" t="n"/>
      <c r="E1" s="499" t="n"/>
      <c r="F1" s="508" t="inlineStr">
        <is>
          <t>เป้าหมาย SDGs</t>
        </is>
      </c>
      <c r="G1" s="499" t="n"/>
      <c r="H1" s="498" t="n"/>
      <c r="I1" s="498" t="n"/>
      <c r="J1" s="498" t="n"/>
      <c r="K1" s="508" t="inlineStr">
        <is>
          <t>ความเชื่อมโยงกับค่านิยมองค์กร</t>
        </is>
      </c>
      <c r="L1" s="496" t="n"/>
      <c r="M1" s="497" t="n"/>
      <c r="N1" s="508" t="inlineStr">
        <is>
          <t>ประเด็นความเสี่ยง</t>
        </is>
      </c>
      <c r="O1" s="496" t="n"/>
    </row>
    <row r="2">
      <c r="A2" s="506" t="inlineStr">
        <is>
          <t>ประชาชนมีวัฒนธรรมและพฤติกรรมซื่อสัตย์สุจริต</t>
        </is>
      </c>
      <c r="B2" s="504" t="inlineStr">
        <is>
          <t>เป้าหมายที่ 1</t>
        </is>
      </c>
      <c r="C2" s="504" t="n"/>
      <c r="D2" s="504" t="n"/>
      <c r="E2" s="504">
        <f>G2&amp;" "&amp;F2</f>
        <v/>
      </c>
      <c r="F2" s="506" t="inlineStr">
        <is>
          <t>ยุติความยากจน (No Poverty)</t>
        </is>
      </c>
      <c r="G2" s="504" t="inlineStr">
        <is>
          <t>SDG1</t>
        </is>
      </c>
      <c r="H2" s="504" t="n"/>
      <c r="I2" s="504" t="n"/>
      <c r="J2" s="504" t="n"/>
      <c r="K2" s="506" t="inlineStr">
        <is>
          <t>Flexibility ‘ปรับเปลี่ยน’</t>
        </is>
      </c>
      <c r="L2" s="504" t="n"/>
      <c r="M2" s="504" t="n"/>
      <c r="N2" s="506" t="inlineStr">
        <is>
          <t>ความสามารถในการป้องกันภัยคุกคามทางไซเบอร์</t>
        </is>
      </c>
      <c r="O2" s="504" t="n"/>
    </row>
    <row r="3">
      <c r="A3" s="506" t="inlineStr">
        <is>
          <t>คดีทุจริตและประพฤติมิชอบลดลง</t>
        </is>
      </c>
      <c r="B3" s="504" t="inlineStr">
        <is>
          <t>เป้าหมายที่ 2</t>
        </is>
      </c>
      <c r="C3" s="504" t="n"/>
      <c r="D3" s="504" t="n"/>
      <c r="E3" s="504">
        <f>G3&amp;" "&amp;F3</f>
        <v/>
      </c>
      <c r="F3" s="506" t="inlineStr">
        <is>
          <t>ขจัดความหิวโหย (Zero Hunger)</t>
        </is>
      </c>
      <c r="G3" s="504" t="inlineStr">
        <is>
          <t>SDG2</t>
        </is>
      </c>
      <c r="H3" s="504" t="n"/>
      <c r="I3" s="504" t="n"/>
      <c r="J3" s="504" t="n"/>
      <c r="K3" s="506" t="inlineStr">
        <is>
          <t>Integrity ‘ยึดมั่น’</t>
        </is>
      </c>
      <c r="L3" s="504" t="n"/>
      <c r="M3" s="504" t="n"/>
      <c r="N3" s="506" t="inlineStr">
        <is>
          <t>ความสามารถในการปฏิบัติตามพระราชบัญญัติคุ้มครองข้อมูลส่วนบุคคล (PDPA)</t>
        </is>
      </c>
      <c r="O3" s="504" t="n"/>
    </row>
    <row r="4">
      <c r="A4" s="506" t="inlineStr">
        <is>
          <t>การดำเนินคดีทุจริตมีความรวดเร็ว เป็นธรรม โปร่งใส ไม่เลือกปฏิบัติ</t>
        </is>
      </c>
      <c r="B4" s="504" t="inlineStr">
        <is>
          <t>เป้าหมายที่ 3</t>
        </is>
      </c>
      <c r="C4" s="504" t="n"/>
      <c r="D4" s="504" t="n"/>
      <c r="E4" s="504">
        <f>G4&amp;" "&amp;F4</f>
        <v/>
      </c>
      <c r="F4" s="506" t="inlineStr">
        <is>
          <t>สุขภาพและความเป็นอยู่ที่ดี (Good Health and Wellbeing)</t>
        </is>
      </c>
      <c r="G4" s="504" t="inlineStr">
        <is>
          <t>SDG3</t>
        </is>
      </c>
      <c r="H4" s="504" t="n"/>
      <c r="I4" s="504" t="n"/>
      <c r="J4" s="504" t="n"/>
      <c r="K4" s="506" t="inlineStr">
        <is>
          <t>Resourcefulness ‘สร้างสรรค์’</t>
        </is>
      </c>
      <c r="L4" s="504" t="n"/>
      <c r="M4" s="504" t="n"/>
      <c r="N4" s="506" t="inlineStr">
        <is>
          <t>ความสามารถในการจัดการข้อมูลข่าวสารเชิงวิกฤตที่สร้างความเสียหายให้กับมหาวิทยาลัยในยุคดิจิทัล</t>
        </is>
      </c>
      <c r="O4" s="504" t="n"/>
    </row>
    <row r="5">
      <c r="A5" s="504" t="n"/>
      <c r="B5" s="504" t="n"/>
      <c r="C5" s="504" t="n"/>
      <c r="D5" s="504" t="n"/>
      <c r="E5" s="504">
        <f>G5&amp;" "&amp;F5</f>
        <v/>
      </c>
      <c r="F5" s="506" t="inlineStr">
        <is>
          <t>การศึกษาที่มีคุณภาพ (Quality Education)</t>
        </is>
      </c>
      <c r="G5" s="504" t="inlineStr">
        <is>
          <t>SDG4</t>
        </is>
      </c>
      <c r="H5" s="504" t="n"/>
      <c r="I5" s="504" t="n"/>
      <c r="J5" s="504" t="n"/>
      <c r="K5" s="504" t="inlineStr">
        <is>
          <t>Spirit ‘ด้วยใจ’</t>
        </is>
      </c>
      <c r="L5" s="504" t="n"/>
      <c r="M5" s="504" t="n"/>
      <c r="N5" s="504" t="inlineStr">
        <is>
          <t>ความสามารถในการตอบสนองความคาดหวังของสังคม</t>
        </is>
      </c>
      <c r="O5" s="504" t="n"/>
    </row>
    <row r="6">
      <c r="A6" s="504" t="n"/>
      <c r="B6" s="504" t="n"/>
      <c r="C6" s="504" t="n"/>
      <c r="D6" s="504" t="n"/>
      <c r="E6" s="504">
        <f>G6&amp;" "&amp;F6</f>
        <v/>
      </c>
      <c r="F6" s="506" t="inlineStr">
        <is>
          <t>ความเท่าเทียมทางเพศ (Gender Equality)</t>
        </is>
      </c>
      <c r="G6" s="504" t="inlineStr">
        <is>
          <t>SDG5</t>
        </is>
      </c>
      <c r="H6" s="504" t="n"/>
      <c r="I6" s="504" t="n"/>
      <c r="J6" s="504" t="n"/>
      <c r="K6" s="504" t="inlineStr">
        <is>
          <t>Teamwork ‘ด้วยกัน’</t>
        </is>
      </c>
      <c r="L6" s="504" t="n"/>
      <c r="M6" s="504" t="n"/>
      <c r="N6" s="504" t="inlineStr">
        <is>
          <t>ความสามารถในการพัฒนาบุคลากรให้สามารถปฏิบัติงานได้ตามความคาดหวัง ปรับตัวได้ทันต่อการเปลี่ยนแปลง และสามารถขับเคลื่อนมหาวิทยาลัยเข้าสู่การแข่งขันในอนาคต</t>
        </is>
      </c>
      <c r="O6" s="504" t="n"/>
    </row>
    <row r="7">
      <c r="A7" s="504" t="n"/>
      <c r="B7" s="504" t="n"/>
      <c r="C7" s="504" t="n"/>
      <c r="D7" s="504" t="n"/>
      <c r="E7" s="504">
        <f>G7&amp;" "&amp;F7</f>
        <v/>
      </c>
      <c r="F7" s="506" t="inlineStr">
        <is>
          <t>การจัดการน้ำ และสุขาภิบาล (Clean Water and Sanitation)</t>
        </is>
      </c>
      <c r="G7" s="504" t="inlineStr">
        <is>
          <t>SDG6</t>
        </is>
      </c>
      <c r="H7" s="504" t="n"/>
      <c r="I7" s="504" t="n"/>
      <c r="J7" s="504" t="n"/>
      <c r="K7" s="504" t="n"/>
      <c r="L7" s="504" t="n"/>
      <c r="M7" s="504" t="n"/>
      <c r="N7" s="504" t="inlineStr">
        <is>
          <t>ความสามารถในการใช้ปัญญาประดิษฐ์อย่างเหมาะสมและมีประสิทธิภาพ</t>
        </is>
      </c>
      <c r="O7" s="504" t="n"/>
    </row>
    <row r="8">
      <c r="A8" s="504" t="n"/>
      <c r="B8" s="504" t="n"/>
      <c r="C8" s="504" t="n"/>
      <c r="D8" s="504" t="n"/>
      <c r="E8" s="504">
        <f>G8&amp;" "&amp;F8</f>
        <v/>
      </c>
      <c r="F8" s="506" t="inlineStr">
        <is>
          <t>พลังงานที่สะอาดและราคาย่อมเยา (Affordable and Clean Energy)</t>
        </is>
      </c>
      <c r="G8" s="504" t="inlineStr">
        <is>
          <t>SDG7</t>
        </is>
      </c>
      <c r="H8" s="504" t="n"/>
      <c r="I8" s="504" t="n"/>
      <c r="J8" s="504" t="n"/>
      <c r="K8" s="504" t="n"/>
      <c r="L8" s="504" t="n"/>
      <c r="M8" s="504" t="n"/>
      <c r="N8" s="504" t="inlineStr">
        <is>
          <t>ความสามารถในการรับมือกับปัญหาสิ่งแวดล้อมและภัยพิบัติ</t>
        </is>
      </c>
      <c r="O8" s="504" t="n"/>
    </row>
    <row r="9">
      <c r="A9" s="504" t="n"/>
      <c r="B9" s="504" t="n"/>
      <c r="C9" s="504" t="n"/>
      <c r="D9" s="504" t="n"/>
      <c r="E9" s="504">
        <f>G9&amp;" "&amp;F9</f>
        <v/>
      </c>
      <c r="F9" s="506" t="inlineStr">
        <is>
          <t>การจ้างงานที่มีคุณค่าและการเติบโตทางเศรษฐกิจ (Decent Work and Economic Growth)</t>
        </is>
      </c>
      <c r="G9" s="504" t="inlineStr">
        <is>
          <t>SDG8</t>
        </is>
      </c>
      <c r="H9" s="504" t="n"/>
      <c r="I9" s="504" t="n"/>
      <c r="J9" s="504" t="n"/>
      <c r="K9" s="504" t="n"/>
      <c r="L9" s="504" t="n"/>
      <c r="M9" s="504" t="n"/>
      <c r="N9" s="504" t="inlineStr">
        <is>
          <t>ความสามารถในการพึ่งพาตนเองด้านงบประมาณในระยะยาว</t>
        </is>
      </c>
      <c r="O9" s="504" t="n"/>
    </row>
    <row r="10">
      <c r="A10" s="504" t="n"/>
      <c r="B10" s="504" t="n"/>
      <c r="C10" s="504" t="n"/>
      <c r="D10" s="504" t="n"/>
      <c r="E10" s="504">
        <f>G10&amp;" "&amp;F10</f>
        <v/>
      </c>
      <c r="F10" s="506" t="inlineStr">
        <is>
          <t>อุตสาหกรรม นวัตกรรม และโครงสร้างพื้นฐาน (Industry, Innovation and Infrastructure)</t>
        </is>
      </c>
      <c r="G10" s="504" t="inlineStr">
        <is>
          <t>SDG9</t>
        </is>
      </c>
      <c r="H10" s="504" t="n"/>
      <c r="I10" s="504" t="n"/>
      <c r="J10" s="504" t="n"/>
      <c r="K10" s="504" t="n"/>
      <c r="L10" s="504" t="n"/>
      <c r="M10" s="504" t="n"/>
      <c r="N10" s="504" t="inlineStr">
        <is>
          <t>ความสามารถในการดำเนินงานอย่างโปร่งใส ตรวจสอบได้ และการป้องกันการทุจริต ประพฤติมิชอบในมหาวิทยาลัย</t>
        </is>
      </c>
      <c r="O10" s="504" t="n"/>
    </row>
    <row r="11">
      <c r="A11" s="504" t="n"/>
      <c r="B11" s="504" t="n"/>
      <c r="C11" s="504" t="n"/>
      <c r="D11" s="504" t="n"/>
      <c r="E11" s="504">
        <f>G11&amp;" "&amp;F11</f>
        <v/>
      </c>
      <c r="F11" s="506" t="inlineStr">
        <is>
          <t>การลดความไม่เสมอภาค (Reduced Inequalities)</t>
        </is>
      </c>
      <c r="G11" s="504" t="inlineStr">
        <is>
          <t>SDG10</t>
        </is>
      </c>
      <c r="H11" s="504" t="n"/>
      <c r="I11" s="504" t="n"/>
      <c r="J11" s="504" t="n"/>
      <c r="K11" s="504" t="n"/>
      <c r="L11" s="504" t="n"/>
      <c r="M11" s="504" t="n"/>
      <c r="N11" s="504" t="n"/>
      <c r="O11" s="504" t="n"/>
    </row>
    <row r="12">
      <c r="A12" s="504" t="n"/>
      <c r="B12" s="504" t="n"/>
      <c r="C12" s="504" t="n"/>
      <c r="D12" s="504" t="n"/>
      <c r="E12" s="504">
        <f>G12&amp;" "&amp;F12</f>
        <v/>
      </c>
      <c r="F12" s="506" t="inlineStr">
        <is>
          <t>เมืองและ ถิ่นฐานมนุษย์ที่ยั่งยืน (Sustainable Cities and Communities)</t>
        </is>
      </c>
      <c r="G12" s="504" t="inlineStr">
        <is>
          <t>SDG11</t>
        </is>
      </c>
      <c r="H12" s="504" t="n"/>
      <c r="I12" s="504" t="n"/>
      <c r="J12" s="504" t="n"/>
      <c r="K12" s="504" t="n"/>
      <c r="L12" s="504" t="n"/>
      <c r="M12" s="504" t="n"/>
      <c r="N12" s="504" t="n"/>
      <c r="O12" s="504" t="n"/>
    </row>
    <row r="13">
      <c r="A13" s="504" t="n"/>
      <c r="B13" s="504" t="n"/>
      <c r="C13" s="504" t="n"/>
      <c r="D13" s="504" t="n"/>
      <c r="E13" s="504">
        <f>G13&amp;" "&amp;F13</f>
        <v/>
      </c>
      <c r="F13" s="506" t="inlineStr">
        <is>
          <t>การผลิตและการบริโภคอย่างมีความรับผิดชอบ (Responsible Consumption and Production)</t>
        </is>
      </c>
      <c r="G13" s="504" t="inlineStr">
        <is>
          <t>SDG12</t>
        </is>
      </c>
      <c r="H13" s="504" t="n"/>
      <c r="I13" s="504" t="n"/>
      <c r="J13" s="504" t="n"/>
      <c r="K13" s="504" t="n"/>
      <c r="L13" s="504" t="n"/>
      <c r="M13" s="504" t="n"/>
      <c r="N13" s="504" t="n"/>
      <c r="O13" s="504" t="n"/>
    </row>
    <row r="14">
      <c r="A14" s="504" t="n"/>
      <c r="B14" s="504" t="n"/>
      <c r="C14" s="504" t="n"/>
      <c r="D14" s="504" t="n"/>
      <c r="E14" s="504">
        <f>G14&amp;" "&amp;F14</f>
        <v/>
      </c>
      <c r="F14" s="506" t="inlineStr">
        <is>
          <t>การรับมือกับการเปลี่ยนแปลงสภาพภูมิอากาศ (Climate Action)</t>
        </is>
      </c>
      <c r="G14" s="504" t="inlineStr">
        <is>
          <t>SDG13</t>
        </is>
      </c>
      <c r="H14" s="504" t="n"/>
      <c r="I14" s="504" t="n"/>
      <c r="J14" s="504" t="n"/>
      <c r="K14" s="504" t="n"/>
      <c r="L14" s="504" t="n"/>
      <c r="M14" s="504" t="n"/>
      <c r="N14" s="504" t="n"/>
      <c r="O14" s="504" t="n"/>
    </row>
    <row r="15">
      <c r="A15" s="504" t="n"/>
      <c r="B15" s="504" t="n"/>
      <c r="C15" s="504" t="n"/>
      <c r="D15" s="504" t="n"/>
      <c r="E15" s="504">
        <f>G15&amp;" "&amp;F15</f>
        <v/>
      </c>
      <c r="F15" s="506" t="inlineStr">
        <is>
          <t>สิ่งมีชีวิตใต้น้ำ (Life below Water)</t>
        </is>
      </c>
      <c r="G15" s="504" t="inlineStr">
        <is>
          <t>SDG14</t>
        </is>
      </c>
      <c r="H15" s="504" t="n"/>
      <c r="I15" s="504" t="n"/>
      <c r="J15" s="504" t="n"/>
      <c r="K15" s="504" t="n"/>
      <c r="L15" s="504" t="n"/>
      <c r="M15" s="504" t="n"/>
      <c r="N15" s="504" t="n"/>
      <c r="O15" s="504" t="n"/>
    </row>
    <row r="16">
      <c r="A16" s="504" t="n"/>
      <c r="B16" s="504" t="n"/>
      <c r="C16" s="504" t="n"/>
      <c r="D16" s="504" t="n"/>
      <c r="E16" s="504">
        <f>G16&amp;" "&amp;F16</f>
        <v/>
      </c>
      <c r="F16" s="506" t="inlineStr">
        <is>
          <t>สิ่งมีชีวิตบนบก (Life on Land)</t>
        </is>
      </c>
      <c r="G16" s="504" t="inlineStr">
        <is>
          <t>SDG15</t>
        </is>
      </c>
      <c r="H16" s="504" t="n"/>
      <c r="I16" s="504" t="n"/>
      <c r="J16" s="504" t="n"/>
      <c r="K16" s="504" t="n"/>
      <c r="L16" s="504" t="n"/>
      <c r="M16" s="504" t="n"/>
      <c r="N16" s="504" t="n"/>
      <c r="O16" s="504" t="n"/>
    </row>
    <row r="17">
      <c r="A17" s="504" t="n"/>
      <c r="B17" s="504" t="n"/>
      <c r="C17" s="504" t="n"/>
      <c r="D17" s="504" t="n"/>
      <c r="E17" s="504">
        <f>G17&amp;" "&amp;F17</f>
        <v/>
      </c>
      <c r="F17" s="506" t="inlineStr">
        <is>
          <t>สังคมสงบสุข ยุติธรรม และสถาบันเข้มแข็ง (Peace, Justice and Strong Institutions)</t>
        </is>
      </c>
      <c r="G17" s="504" t="inlineStr">
        <is>
          <t>SDG16</t>
        </is>
      </c>
      <c r="H17" s="504" t="n"/>
      <c r="I17" s="504" t="n"/>
      <c r="J17" s="504" t="n"/>
      <c r="K17" s="504" t="n"/>
      <c r="L17" s="504" t="n"/>
      <c r="M17" s="504" t="n"/>
      <c r="N17" s="504" t="n"/>
      <c r="O17" s="504" t="n"/>
    </row>
    <row r="18">
      <c r="A18" s="504" t="n"/>
      <c r="B18" s="504" t="n"/>
      <c r="C18" s="504" t="n"/>
      <c r="D18" s="504" t="n"/>
      <c r="E18" s="504">
        <f>G18&amp;" "&amp;F18</f>
        <v/>
      </c>
      <c r="F18" s="506" t="inlineStr">
        <is>
          <t>ความร่วมมือเพื่อการพัฒนาที่ยั่งยืน (Partnership for the Goals)</t>
        </is>
      </c>
      <c r="G18" s="504" t="inlineStr">
        <is>
          <t>SDG17</t>
        </is>
      </c>
      <c r="H18" s="504" t="n"/>
      <c r="I18" s="504" t="n"/>
      <c r="J18" s="504" t="n"/>
      <c r="K18" s="504" t="n"/>
      <c r="L18" s="504" t="n"/>
      <c r="M18" s="504" t="n"/>
      <c r="N18" s="504" t="n"/>
      <c r="O18" s="504" t="n"/>
    </row>
    <row r="19">
      <c r="A19" s="504" t="n"/>
      <c r="B19" s="504" t="n"/>
      <c r="C19" s="504" t="n"/>
      <c r="D19" s="504" t="n"/>
      <c r="E19" s="507" t="n"/>
      <c r="F19" s="507" t="n"/>
      <c r="G19" s="507" t="n"/>
      <c r="H19" s="504" t="n"/>
      <c r="I19" s="504" t="n"/>
      <c r="J19" s="504" t="n"/>
      <c r="K19" s="504" t="n"/>
      <c r="L19" s="504" t="n"/>
      <c r="M19" s="504" t="n"/>
      <c r="N19" s="504" t="n"/>
      <c r="O19" s="504" t="n"/>
    </row>
    <row r="20">
      <c r="A20" s="504" t="n"/>
      <c r="B20" s="504" t="n"/>
      <c r="C20" s="504" t="n"/>
      <c r="D20" s="504" t="n"/>
      <c r="E20" s="507" t="n"/>
      <c r="F20" s="507" t="n"/>
      <c r="G20" s="507" t="n"/>
      <c r="H20" s="504" t="n"/>
      <c r="I20" s="504" t="n"/>
      <c r="J20" s="504" t="n"/>
      <c r="K20" s="504" t="n"/>
      <c r="L20" s="504" t="n"/>
      <c r="M20" s="504" t="n"/>
      <c r="N20" s="504" t="n"/>
      <c r="O20" s="504" t="n"/>
    </row>
    <row r="21">
      <c r="A21" s="504" t="n"/>
      <c r="B21" s="504" t="n"/>
      <c r="C21" s="504" t="n"/>
      <c r="D21" s="504" t="n"/>
      <c r="E21" s="507" t="n"/>
      <c r="F21" s="507" t="n"/>
      <c r="G21" s="507" t="n"/>
      <c r="H21" s="504" t="n"/>
      <c r="I21" s="504" t="n"/>
      <c r="J21" s="504" t="n"/>
      <c r="K21" s="504" t="n"/>
      <c r="L21" s="504" t="n"/>
      <c r="M21" s="504" t="n"/>
      <c r="N21" s="504" t="n"/>
      <c r="O21" s="504" t="n"/>
    </row>
    <row r="22">
      <c r="A22" s="504" t="n"/>
      <c r="B22" s="504" t="n"/>
      <c r="C22" s="504" t="n"/>
      <c r="D22" s="504" t="n"/>
      <c r="E22" s="507" t="n"/>
      <c r="F22" s="507" t="n"/>
      <c r="G22" s="507" t="n"/>
      <c r="H22" s="504" t="n"/>
      <c r="I22" s="504" t="n"/>
      <c r="J22" s="504" t="n"/>
      <c r="K22" s="504" t="n"/>
      <c r="L22" s="504" t="n"/>
      <c r="M22" s="504" t="n"/>
      <c r="N22" s="504" t="n"/>
      <c r="O22" s="504" t="n"/>
    </row>
    <row r="23">
      <c r="A23" s="504" t="n"/>
      <c r="B23" s="504" t="n"/>
      <c r="C23" s="504" t="n"/>
      <c r="D23" s="504" t="n"/>
      <c r="E23" s="507" t="n"/>
      <c r="F23" s="507" t="n"/>
      <c r="G23" s="507" t="n"/>
      <c r="H23" s="504" t="n"/>
      <c r="I23" s="504" t="n"/>
      <c r="J23" s="504" t="n"/>
      <c r="K23" s="504" t="n"/>
      <c r="L23" s="504" t="n"/>
      <c r="M23" s="504" t="n"/>
      <c r="N23" s="504" t="n"/>
      <c r="O23" s="504" t="n"/>
    </row>
    <row r="24">
      <c r="A24" s="504" t="n"/>
      <c r="B24" s="504" t="n"/>
      <c r="C24" s="504" t="n"/>
      <c r="D24" s="504" t="n"/>
      <c r="E24" s="507" t="n"/>
      <c r="F24" s="507" t="n"/>
      <c r="G24" s="507" t="n"/>
      <c r="H24" s="504" t="n"/>
      <c r="I24" s="504" t="n"/>
      <c r="J24" s="504" t="n"/>
      <c r="K24" s="504" t="n"/>
      <c r="L24" s="504" t="n"/>
      <c r="M24" s="504" t="n"/>
      <c r="N24" s="504" t="n"/>
      <c r="O24" s="504" t="n"/>
    </row>
    <row r="25">
      <c r="A25" s="504" t="n"/>
      <c r="B25" s="504" t="n"/>
      <c r="C25" s="504" t="n"/>
      <c r="D25" s="504" t="n"/>
      <c r="E25" s="507" t="n"/>
      <c r="F25" s="507" t="n"/>
      <c r="G25" s="507" t="n"/>
      <c r="H25" s="504" t="n"/>
      <c r="I25" s="504" t="n"/>
      <c r="J25" s="504" t="n"/>
      <c r="K25" s="504" t="n"/>
      <c r="L25" s="504" t="n"/>
      <c r="M25" s="504" t="n"/>
      <c r="N25" s="504" t="n"/>
      <c r="O25" s="504" t="n"/>
    </row>
    <row r="26">
      <c r="A26" s="504" t="n"/>
      <c r="B26" s="504" t="n"/>
      <c r="C26" s="504" t="n"/>
      <c r="D26" s="504" t="n"/>
      <c r="E26" s="507" t="n"/>
      <c r="F26" s="507" t="n"/>
      <c r="G26" s="507" t="n"/>
      <c r="H26" s="504" t="n"/>
      <c r="I26" s="504" t="n"/>
      <c r="J26" s="504" t="n"/>
      <c r="K26" s="504" t="n"/>
      <c r="L26" s="504" t="n"/>
      <c r="M26" s="504" t="n"/>
      <c r="N26" s="504" t="n"/>
      <c r="O26" s="504" t="n"/>
    </row>
    <row r="27">
      <c r="A27" s="504" t="n"/>
      <c r="B27" s="504" t="n"/>
      <c r="C27" s="504" t="n"/>
      <c r="D27" s="504" t="n"/>
      <c r="E27" s="507" t="n"/>
      <c r="F27" s="507" t="n"/>
      <c r="G27" s="507" t="n"/>
      <c r="H27" s="504" t="n"/>
      <c r="I27" s="504" t="n"/>
      <c r="J27" s="504" t="n"/>
      <c r="K27" s="504" t="n"/>
      <c r="L27" s="504" t="n"/>
      <c r="M27" s="504" t="n"/>
      <c r="N27" s="504" t="n"/>
      <c r="O27" s="504" t="n"/>
    </row>
    <row r="28">
      <c r="A28" s="504" t="n"/>
      <c r="B28" s="504" t="n"/>
      <c r="C28" s="504" t="n"/>
      <c r="D28" s="504" t="n"/>
      <c r="E28" s="507" t="n"/>
      <c r="F28" s="507" t="n"/>
      <c r="G28" s="507" t="n"/>
      <c r="H28" s="504" t="n"/>
      <c r="I28" s="504" t="n"/>
      <c r="J28" s="504" t="n"/>
      <c r="K28" s="504" t="n"/>
      <c r="L28" s="504" t="n"/>
      <c r="M28" s="504" t="n"/>
      <c r="N28" s="504" t="n"/>
      <c r="O28" s="504" t="n"/>
    </row>
    <row r="29">
      <c r="A29" s="504" t="n"/>
      <c r="B29" s="504" t="n"/>
      <c r="C29" s="504" t="n"/>
      <c r="D29" s="504" t="n"/>
      <c r="E29" s="507" t="n"/>
      <c r="F29" s="507" t="n"/>
      <c r="G29" s="507" t="n"/>
      <c r="H29" s="504" t="n"/>
      <c r="I29" s="504" t="n"/>
      <c r="J29" s="504" t="n"/>
      <c r="K29" s="504" t="n"/>
      <c r="L29" s="504" t="n"/>
      <c r="M29" s="504" t="n"/>
      <c r="N29" s="504" t="n"/>
      <c r="O29" s="504" t="n"/>
    </row>
    <row r="30">
      <c r="A30" s="504" t="n"/>
      <c r="B30" s="504" t="n"/>
      <c r="C30" s="504" t="n"/>
      <c r="D30" s="504" t="n"/>
      <c r="E30" s="507" t="n"/>
      <c r="F30" s="507" t="n"/>
      <c r="G30" s="507" t="n"/>
      <c r="H30" s="504" t="n"/>
      <c r="I30" s="504" t="n"/>
      <c r="J30" s="504" t="n"/>
      <c r="K30" s="504" t="n"/>
      <c r="L30" s="504" t="n"/>
      <c r="M30" s="504" t="n"/>
      <c r="N30" s="504" t="n"/>
      <c r="O30" s="50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25" customWidth="1" style="592" min="1" max="1"/>
    <col width="18.88" customWidth="1" style="592" min="2" max="2"/>
    <col width="13" customWidth="1" style="592" min="3" max="3"/>
    <col width="15.25" customWidth="1" style="592" min="4" max="4"/>
    <col width="13.75" customWidth="1" style="592" min="5" max="5"/>
    <col width="8.630000000000001" customWidth="1" style="592" min="6" max="6"/>
  </cols>
  <sheetData>
    <row r="1">
      <c r="A1" s="508" t="inlineStr">
        <is>
          <t>รหัสรายการ
งบประมาณ</t>
        </is>
      </c>
      <c r="B1" s="508" t="inlineStr">
        <is>
          <t>ชื่อรายการงบประมาณ</t>
        </is>
      </c>
      <c r="C1" s="509" t="inlineStr">
        <is>
          <t>คำของบประมาณ
(บาท)</t>
        </is>
      </c>
      <c r="D1" s="509" t="inlineStr">
        <is>
          <t>พิจารณางบประมาณ
(บาท)</t>
        </is>
      </c>
      <c r="E1" s="509" t="inlineStr">
        <is>
          <t>จัดสรรงบประมาณ
(บาท)</t>
        </is>
      </c>
      <c r="F1" s="508" t="inlineStr">
        <is>
          <t>USE</t>
        </is>
      </c>
    </row>
    <row r="2">
      <c r="A2" s="547">
        <f>IFERROR(__xludf.DUMMYFUNCTION("IFERROR(ARRAYFORMULA(QUERY({TO_TEXT('งบประมาณ'!B11:B999),'งบประมาณ'!C11:C999,'งบประมาณ'!E11:E999,'งบประมาณ'!L11:L999,'งบประมาณ'!T11:T999,'งบประมาณ'!AG11:AG999},""SELECT * WHERE (Col3 &gt; 0 OR Col5 &gt; 0) AND Col6 IS NOT NULL"")))"),"")</f>
        <v/>
      </c>
      <c r="B2" s="548" t="n"/>
      <c r="C2" s="287" t="n"/>
      <c r="D2" s="511" t="n"/>
      <c r="E2" s="511" t="n"/>
      <c r="F2" s="548" t="n"/>
    </row>
    <row r="3">
      <c r="A3" s="547" t="n"/>
      <c r="B3" s="548" t="n"/>
      <c r="C3" s="287" t="n"/>
      <c r="D3" s="511" t="n"/>
      <c r="E3" s="511" t="n"/>
      <c r="F3" s="548" t="n"/>
    </row>
    <row r="4">
      <c r="A4" s="547" t="n"/>
      <c r="B4" s="548" t="n"/>
      <c r="C4" s="287" t="n"/>
      <c r="D4" s="511" t="n"/>
      <c r="E4" s="511" t="n"/>
      <c r="F4" s="548" t="n"/>
    </row>
    <row r="5">
      <c r="A5" s="547" t="n"/>
      <c r="B5" s="548" t="n"/>
      <c r="C5" s="287" t="n"/>
      <c r="D5" s="511" t="n"/>
      <c r="E5" s="511" t="n"/>
      <c r="F5" s="548" t="n"/>
    </row>
    <row r="6">
      <c r="A6" s="547" t="n"/>
      <c r="B6" s="548" t="n"/>
      <c r="C6" s="287" t="n"/>
      <c r="D6" s="511" t="n"/>
      <c r="E6" s="511" t="n"/>
      <c r="F6" s="548" t="n"/>
    </row>
    <row r="7">
      <c r="A7" s="547" t="n"/>
      <c r="B7" s="548" t="n"/>
      <c r="C7" s="287" t="n"/>
      <c r="D7" s="511" t="n"/>
      <c r="E7" s="511" t="n"/>
      <c r="F7" s="548" t="n"/>
    </row>
    <row r="8">
      <c r="A8" s="547" t="n"/>
      <c r="B8" s="548" t="n"/>
      <c r="C8" s="511" t="n"/>
      <c r="D8" s="511" t="n"/>
      <c r="E8" s="511" t="n"/>
      <c r="F8" s="548" t="n"/>
    </row>
    <row r="9">
      <c r="A9" s="547" t="n"/>
      <c r="B9" s="548" t="n"/>
      <c r="C9" s="511" t="n"/>
      <c r="D9" s="511" t="n"/>
      <c r="E9" s="511" t="n"/>
      <c r="F9" s="548" t="n"/>
    </row>
    <row r="10">
      <c r="A10" s="547" t="n"/>
      <c r="B10" s="548" t="n"/>
      <c r="C10" s="511" t="n"/>
      <c r="D10" s="511" t="n"/>
      <c r="E10" s="511" t="n"/>
      <c r="F10" s="548" t="n"/>
    </row>
    <row r="11">
      <c r="A11" s="547" t="n"/>
      <c r="B11" s="548" t="n"/>
      <c r="C11" s="511" t="n"/>
      <c r="D11" s="511" t="n"/>
      <c r="E11" s="511" t="n"/>
      <c r="F11" s="548" t="n"/>
    </row>
    <row r="12">
      <c r="A12" s="547" t="n"/>
      <c r="B12" s="548" t="n"/>
      <c r="C12" s="511" t="n"/>
      <c r="D12" s="511" t="n"/>
      <c r="E12" s="511" t="n"/>
      <c r="F12" s="548" t="n"/>
    </row>
    <row r="13">
      <c r="A13" s="547" t="n"/>
      <c r="B13" s="548" t="n"/>
      <c r="C13" s="511" t="n"/>
      <c r="D13" s="511" t="n"/>
      <c r="E13" s="511" t="n"/>
      <c r="F13" s="548" t="n"/>
    </row>
    <row r="14">
      <c r="A14" s="547" t="n"/>
      <c r="B14" s="548" t="n"/>
      <c r="C14" s="511" t="n"/>
      <c r="D14" s="511" t="n"/>
      <c r="E14" s="511" t="n"/>
      <c r="F14" s="548" t="n"/>
    </row>
    <row r="15">
      <c r="A15" s="547" t="n"/>
      <c r="B15" s="548" t="n"/>
      <c r="C15" s="511" t="n"/>
      <c r="D15" s="511" t="n"/>
      <c r="E15" s="511" t="n"/>
      <c r="F15" s="548" t="n"/>
    </row>
    <row r="16">
      <c r="A16" s="547" t="n"/>
      <c r="B16" s="548" t="n"/>
      <c r="C16" s="511" t="n"/>
      <c r="D16" s="511" t="n"/>
      <c r="E16" s="511" t="n"/>
      <c r="F16" s="548" t="n"/>
    </row>
    <row r="17">
      <c r="A17" s="547" t="n"/>
      <c r="B17" s="548" t="n"/>
      <c r="C17" s="511" t="n"/>
      <c r="D17" s="511" t="n"/>
      <c r="E17" s="511" t="n"/>
      <c r="F17" s="548" t="n"/>
    </row>
    <row r="18">
      <c r="A18" s="547" t="n"/>
      <c r="B18" s="548" t="n"/>
      <c r="C18" s="511" t="n"/>
      <c r="D18" s="511" t="n"/>
      <c r="E18" s="511" t="n"/>
      <c r="F18" s="548" t="n"/>
    </row>
    <row r="19">
      <c r="A19" s="547" t="n"/>
      <c r="B19" s="548" t="n"/>
      <c r="C19" s="511" t="n"/>
      <c r="D19" s="511" t="n"/>
      <c r="E19" s="511" t="n"/>
      <c r="F19" s="548" t="n"/>
    </row>
    <row r="20">
      <c r="A20" s="547" t="n"/>
      <c r="B20" s="548" t="n"/>
      <c r="C20" s="511" t="n"/>
      <c r="D20" s="511" t="n"/>
      <c r="E20" s="511" t="n"/>
      <c r="F20" s="548" t="n"/>
    </row>
    <row r="21">
      <c r="A21" s="547" t="n"/>
      <c r="B21" s="548" t="n"/>
      <c r="C21" s="511" t="n"/>
      <c r="D21" s="511" t="n"/>
      <c r="E21" s="511" t="n"/>
      <c r="F21" s="548" t="n"/>
    </row>
    <row r="22">
      <c r="A22" s="547" t="n"/>
      <c r="B22" s="548" t="n"/>
      <c r="C22" s="511" t="n"/>
      <c r="D22" s="511" t="n"/>
      <c r="E22" s="511" t="n"/>
      <c r="F22" s="548" t="n"/>
    </row>
    <row r="23">
      <c r="A23" s="547" t="n"/>
      <c r="B23" s="548" t="n"/>
      <c r="C23" s="511" t="n"/>
      <c r="D23" s="511" t="n"/>
      <c r="E23" s="511" t="n"/>
      <c r="F23" s="548" t="n"/>
    </row>
    <row r="24">
      <c r="A24" s="547" t="n"/>
      <c r="B24" s="548" t="n"/>
      <c r="C24" s="511" t="n"/>
      <c r="D24" s="511" t="n"/>
      <c r="E24" s="511" t="n"/>
      <c r="F24" s="548" t="n"/>
    </row>
    <row r="25">
      <c r="A25" s="547" t="n"/>
      <c r="B25" s="548" t="n"/>
      <c r="C25" s="511" t="n"/>
      <c r="D25" s="511" t="n"/>
      <c r="E25" s="511" t="n"/>
      <c r="F25" s="548" t="n"/>
    </row>
    <row r="26">
      <c r="A26" s="547" t="n"/>
      <c r="B26" s="548" t="n"/>
      <c r="C26" s="511" t="n"/>
      <c r="D26" s="511" t="n"/>
      <c r="E26" s="511" t="n"/>
      <c r="F26" s="548" t="n"/>
    </row>
    <row r="27">
      <c r="A27" s="547" t="n"/>
      <c r="B27" s="548" t="n"/>
      <c r="C27" s="511" t="n"/>
      <c r="D27" s="511" t="n"/>
      <c r="E27" s="511" t="n"/>
      <c r="F27" s="548" t="n"/>
    </row>
    <row r="28">
      <c r="A28" s="547" t="n"/>
      <c r="B28" s="548" t="n"/>
      <c r="C28" s="511" t="n"/>
      <c r="D28" s="511" t="n"/>
      <c r="E28" s="511" t="n"/>
      <c r="F28" s="548" t="n"/>
    </row>
    <row r="29">
      <c r="A29" s="547" t="n"/>
      <c r="B29" s="548" t="n"/>
      <c r="C29" s="511" t="n"/>
      <c r="D29" s="511" t="n"/>
      <c r="E29" s="511" t="n"/>
      <c r="F29" s="548" t="n"/>
    </row>
    <row r="30">
      <c r="A30" s="547" t="n"/>
      <c r="B30" s="548" t="n"/>
      <c r="C30" s="511" t="n"/>
      <c r="D30" s="511" t="n"/>
      <c r="E30" s="511" t="n"/>
      <c r="F30" s="548" t="n"/>
    </row>
    <row r="31">
      <c r="A31" s="547" t="n"/>
      <c r="B31" s="548" t="n"/>
      <c r="C31" s="511" t="n"/>
      <c r="D31" s="511" t="n"/>
      <c r="E31" s="511" t="n"/>
      <c r="F31" s="548" t="n"/>
    </row>
    <row r="32">
      <c r="A32" s="547" t="n"/>
      <c r="B32" s="548" t="n"/>
      <c r="C32" s="511" t="n"/>
      <c r="D32" s="511" t="n"/>
      <c r="E32" s="511" t="n"/>
      <c r="F32" s="548" t="n"/>
    </row>
    <row r="33">
      <c r="A33" s="547" t="n"/>
      <c r="B33" s="548" t="n"/>
      <c r="C33" s="511" t="n"/>
      <c r="D33" s="511" t="n"/>
      <c r="E33" s="511" t="n"/>
      <c r="F33" s="548" t="n"/>
    </row>
    <row r="34">
      <c r="A34" s="547" t="n"/>
      <c r="B34" s="548" t="n"/>
      <c r="C34" s="511" t="n"/>
      <c r="D34" s="511" t="n"/>
      <c r="E34" s="511" t="n"/>
      <c r="F34" s="548" t="n"/>
    </row>
    <row r="35">
      <c r="A35" s="547" t="n"/>
      <c r="B35" s="548" t="n"/>
      <c r="C35" s="511" t="n"/>
      <c r="D35" s="511" t="n"/>
      <c r="E35" s="511" t="n"/>
      <c r="F35" s="548" t="n"/>
    </row>
    <row r="36">
      <c r="A36" s="547" t="n"/>
      <c r="B36" s="548" t="n"/>
      <c r="C36" s="511" t="n"/>
      <c r="D36" s="511" t="n"/>
      <c r="E36" s="511" t="n"/>
      <c r="F36" s="548" t="n"/>
    </row>
    <row r="37">
      <c r="A37" s="547" t="n"/>
      <c r="B37" s="548" t="n"/>
      <c r="C37" s="511" t="n"/>
      <c r="D37" s="511" t="n"/>
      <c r="E37" s="511" t="n"/>
      <c r="F37" s="548" t="n"/>
    </row>
    <row r="38">
      <c r="A38" s="547" t="n"/>
      <c r="B38" s="548" t="n"/>
      <c r="C38" s="511" t="n"/>
      <c r="D38" s="511" t="n"/>
      <c r="E38" s="511" t="n"/>
      <c r="F38" s="548" t="n"/>
    </row>
    <row r="39">
      <c r="A39" s="547" t="n"/>
      <c r="B39" s="548" t="n"/>
      <c r="C39" s="511" t="n"/>
      <c r="D39" s="511" t="n"/>
      <c r="E39" s="511" t="n"/>
      <c r="F39" s="548" t="n"/>
    </row>
    <row r="40">
      <c r="A40" s="547" t="n"/>
      <c r="B40" s="548" t="n"/>
      <c r="C40" s="511" t="n"/>
      <c r="D40" s="511" t="n"/>
      <c r="E40" s="511" t="n"/>
      <c r="F40" s="548" t="n"/>
    </row>
    <row r="41">
      <c r="A41" s="547" t="n"/>
      <c r="B41" s="548" t="n"/>
      <c r="C41" s="511" t="n"/>
      <c r="D41" s="511" t="n"/>
      <c r="E41" s="511" t="n"/>
      <c r="F41" s="548" t="n"/>
    </row>
    <row r="42">
      <c r="A42" s="547" t="n"/>
      <c r="B42" s="548" t="n"/>
      <c r="C42" s="511" t="n"/>
      <c r="D42" s="511" t="n"/>
      <c r="E42" s="511" t="n"/>
      <c r="F42" s="548" t="n"/>
    </row>
    <row r="43">
      <c r="A43" s="547" t="n"/>
      <c r="B43" s="548" t="n"/>
      <c r="C43" s="511" t="n"/>
      <c r="D43" s="511" t="n"/>
      <c r="E43" s="511" t="n"/>
      <c r="F43" s="548" t="n"/>
    </row>
    <row r="44">
      <c r="A44" s="547" t="n"/>
      <c r="B44" s="548" t="n"/>
      <c r="C44" s="511" t="n"/>
      <c r="D44" s="511" t="n"/>
      <c r="E44" s="511" t="n"/>
      <c r="F44" s="548" t="n"/>
    </row>
    <row r="45">
      <c r="A45" s="547" t="n"/>
      <c r="B45" s="548" t="n"/>
      <c r="C45" s="511" t="n"/>
      <c r="D45" s="511" t="n"/>
      <c r="E45" s="511" t="n"/>
      <c r="F45" s="548" t="n"/>
    </row>
    <row r="46">
      <c r="A46" s="547" t="n"/>
      <c r="B46" s="548" t="n"/>
      <c r="C46" s="511" t="n"/>
      <c r="D46" s="511" t="n"/>
      <c r="E46" s="511" t="n"/>
      <c r="F46" s="548" t="n"/>
    </row>
    <row r="47">
      <c r="A47" s="547" t="n"/>
      <c r="B47" s="548" t="n"/>
      <c r="C47" s="511" t="n"/>
      <c r="D47" s="511" t="n"/>
      <c r="E47" s="511" t="n"/>
      <c r="F47" s="548" t="n"/>
    </row>
    <row r="48">
      <c r="A48" s="547" t="n"/>
      <c r="B48" s="548" t="n"/>
      <c r="C48" s="511" t="n"/>
      <c r="D48" s="511" t="n"/>
      <c r="E48" s="511" t="n"/>
      <c r="F48" s="548" t="n"/>
    </row>
    <row r="49">
      <c r="A49" s="547" t="n"/>
      <c r="B49" s="548" t="n"/>
      <c r="C49" s="511" t="n"/>
      <c r="D49" s="511" t="n"/>
      <c r="E49" s="511" t="n"/>
      <c r="F49" s="548" t="n"/>
    </row>
    <row r="50">
      <c r="A50" s="547" t="n"/>
      <c r="B50" s="548" t="n"/>
      <c r="C50" s="511" t="n"/>
      <c r="D50" s="511" t="n"/>
      <c r="E50" s="511" t="n"/>
      <c r="F50" s="548" t="n"/>
    </row>
    <row r="51">
      <c r="A51" s="547" t="n"/>
      <c r="B51" s="548" t="n"/>
      <c r="C51" s="511" t="n"/>
      <c r="D51" s="511" t="n"/>
      <c r="E51" s="511" t="n"/>
      <c r="F51" s="548" t="n"/>
    </row>
    <row r="52">
      <c r="A52" s="547" t="n"/>
      <c r="B52" s="548" t="n"/>
      <c r="C52" s="511" t="n"/>
      <c r="D52" s="511" t="n"/>
      <c r="E52" s="511" t="n"/>
      <c r="F52" s="548" t="n"/>
    </row>
    <row r="53">
      <c r="A53" s="547" t="n"/>
      <c r="B53" s="548" t="n"/>
      <c r="C53" s="511" t="n"/>
      <c r="D53" s="511" t="n"/>
      <c r="E53" s="511" t="n"/>
      <c r="F53" s="548" t="n"/>
    </row>
    <row r="54">
      <c r="A54" s="547" t="n"/>
      <c r="B54" s="548" t="n"/>
      <c r="C54" s="511" t="n"/>
      <c r="D54" s="511" t="n"/>
      <c r="E54" s="511" t="n"/>
      <c r="F54" s="548" t="n"/>
    </row>
    <row r="55">
      <c r="A55" s="547" t="n"/>
      <c r="B55" s="548" t="n"/>
      <c r="C55" s="511" t="n"/>
      <c r="D55" s="511" t="n"/>
      <c r="E55" s="511" t="n"/>
      <c r="F55" s="548" t="n"/>
    </row>
    <row r="56">
      <c r="A56" s="547" t="n"/>
      <c r="B56" s="548" t="n"/>
      <c r="C56" s="511" t="n"/>
      <c r="D56" s="511" t="n"/>
      <c r="E56" s="511" t="n"/>
      <c r="F56" s="548" t="n"/>
    </row>
    <row r="57">
      <c r="A57" s="547" t="n"/>
      <c r="B57" s="548" t="n"/>
      <c r="C57" s="511" t="n"/>
      <c r="D57" s="511" t="n"/>
      <c r="E57" s="511" t="n"/>
      <c r="F57" s="548" t="n"/>
    </row>
    <row r="58">
      <c r="A58" s="547" t="n"/>
      <c r="B58" s="548" t="n"/>
      <c r="C58" s="511" t="n"/>
      <c r="D58" s="511" t="n"/>
      <c r="E58" s="511" t="n"/>
      <c r="F58" s="548" t="n"/>
    </row>
    <row r="59">
      <c r="A59" s="547" t="n"/>
      <c r="B59" s="548" t="n"/>
      <c r="C59" s="511" t="n"/>
      <c r="D59" s="511" t="n"/>
      <c r="E59" s="511" t="n"/>
      <c r="F59" s="548" t="n"/>
    </row>
    <row r="60">
      <c r="A60" s="547" t="n"/>
      <c r="B60" s="548" t="n"/>
      <c r="C60" s="511" t="n"/>
      <c r="D60" s="511" t="n"/>
      <c r="E60" s="511" t="n"/>
      <c r="F60" s="548" t="n"/>
    </row>
    <row r="61">
      <c r="A61" s="547" t="n"/>
      <c r="B61" s="548" t="n"/>
      <c r="C61" s="511" t="n"/>
      <c r="D61" s="511" t="n"/>
      <c r="E61" s="511" t="n"/>
      <c r="F61" s="548" t="n"/>
    </row>
    <row r="62">
      <c r="A62" s="547" t="n"/>
      <c r="B62" s="548" t="n"/>
      <c r="C62" s="511" t="n"/>
      <c r="D62" s="511" t="n"/>
      <c r="E62" s="511" t="n"/>
      <c r="F62" s="548" t="n"/>
    </row>
    <row r="63">
      <c r="A63" s="547" t="n"/>
      <c r="B63" s="548" t="n"/>
      <c r="C63" s="511" t="n"/>
      <c r="D63" s="511" t="n"/>
      <c r="E63" s="511" t="n"/>
      <c r="F63" s="548" t="n"/>
    </row>
    <row r="64">
      <c r="A64" s="547" t="n"/>
      <c r="B64" s="548" t="n"/>
      <c r="C64" s="511" t="n"/>
      <c r="D64" s="511" t="n"/>
      <c r="E64" s="511" t="n"/>
      <c r="F64" s="548" t="n"/>
    </row>
    <row r="65">
      <c r="A65" s="547" t="n"/>
      <c r="B65" s="548" t="n"/>
      <c r="C65" s="511" t="n"/>
      <c r="D65" s="511" t="n"/>
      <c r="E65" s="511" t="n"/>
      <c r="F65" s="548" t="n"/>
    </row>
    <row r="66">
      <c r="A66" s="547" t="n"/>
      <c r="B66" s="548" t="n"/>
      <c r="C66" s="511" t="n"/>
      <c r="D66" s="511" t="n"/>
      <c r="E66" s="511" t="n"/>
      <c r="F66" s="548" t="n"/>
    </row>
    <row r="67">
      <c r="A67" s="547" t="n"/>
      <c r="B67" s="548" t="n"/>
      <c r="C67" s="511" t="n"/>
      <c r="D67" s="511" t="n"/>
      <c r="E67" s="511" t="n"/>
      <c r="F67" s="548" t="n"/>
    </row>
    <row r="68">
      <c r="A68" s="547" t="n"/>
      <c r="B68" s="548" t="n"/>
      <c r="C68" s="511" t="n"/>
      <c r="D68" s="511" t="n"/>
      <c r="E68" s="511" t="n"/>
      <c r="F68" s="548" t="n"/>
    </row>
    <row r="69">
      <c r="A69" s="547" t="n"/>
      <c r="B69" s="548" t="n"/>
      <c r="C69" s="511" t="n"/>
      <c r="D69" s="511" t="n"/>
      <c r="E69" s="511" t="n"/>
      <c r="F69" s="548" t="n"/>
    </row>
    <row r="70">
      <c r="A70" s="547" t="n"/>
      <c r="B70" s="548" t="n"/>
      <c r="C70" s="511" t="n"/>
      <c r="D70" s="511" t="n"/>
      <c r="E70" s="511" t="n"/>
      <c r="F70" s="548" t="n"/>
    </row>
    <row r="71">
      <c r="A71" s="547" t="n"/>
      <c r="B71" s="548" t="n"/>
      <c r="C71" s="511" t="n"/>
      <c r="D71" s="511" t="n"/>
      <c r="E71" s="511" t="n"/>
      <c r="F71" s="548" t="n"/>
    </row>
    <row r="72">
      <c r="A72" s="547" t="n"/>
      <c r="B72" s="548" t="n"/>
      <c r="C72" s="511" t="n"/>
      <c r="D72" s="511" t="n"/>
      <c r="E72" s="511" t="n"/>
      <c r="F72" s="548" t="n"/>
    </row>
    <row r="73">
      <c r="A73" s="547" t="n"/>
      <c r="B73" s="548" t="n"/>
      <c r="C73" s="511" t="n"/>
      <c r="D73" s="511" t="n"/>
      <c r="E73" s="511" t="n"/>
      <c r="F73" s="548" t="n"/>
    </row>
    <row r="74">
      <c r="A74" s="547" t="n"/>
      <c r="B74" s="548" t="n"/>
      <c r="C74" s="511" t="n"/>
      <c r="D74" s="511" t="n"/>
      <c r="E74" s="511" t="n"/>
      <c r="F74" s="548" t="n"/>
    </row>
    <row r="75">
      <c r="A75" s="547" t="n"/>
      <c r="B75" s="548" t="n"/>
      <c r="C75" s="511" t="n"/>
      <c r="D75" s="511" t="n"/>
      <c r="E75" s="511" t="n"/>
      <c r="F75" s="548" t="n"/>
    </row>
    <row r="76">
      <c r="A76" s="547" t="n"/>
      <c r="B76" s="548" t="n"/>
      <c r="C76" s="511" t="n"/>
      <c r="D76" s="511" t="n"/>
      <c r="E76" s="511" t="n"/>
      <c r="F76" s="548" t="n"/>
    </row>
    <row r="77">
      <c r="A77" s="547" t="n"/>
      <c r="B77" s="548" t="n"/>
      <c r="C77" s="511" t="n"/>
      <c r="D77" s="511" t="n"/>
      <c r="E77" s="511" t="n"/>
      <c r="F77" s="548" t="n"/>
    </row>
    <row r="78">
      <c r="A78" s="547" t="n"/>
      <c r="B78" s="548" t="n"/>
      <c r="C78" s="511" t="n"/>
      <c r="D78" s="511" t="n"/>
      <c r="E78" s="511" t="n"/>
      <c r="F78" s="548" t="n"/>
    </row>
    <row r="79">
      <c r="A79" s="547" t="n"/>
      <c r="B79" s="548" t="n"/>
      <c r="C79" s="511" t="n"/>
      <c r="D79" s="511" t="n"/>
      <c r="E79" s="511" t="n"/>
      <c r="F79" s="548" t="n"/>
    </row>
    <row r="80">
      <c r="A80" s="547" t="n"/>
      <c r="B80" s="548" t="n"/>
      <c r="C80" s="511" t="n"/>
      <c r="D80" s="511" t="n"/>
      <c r="E80" s="511" t="n"/>
      <c r="F80" s="548" t="n"/>
    </row>
    <row r="81">
      <c r="A81" s="547" t="n"/>
      <c r="B81" s="548" t="n"/>
      <c r="C81" s="511" t="n"/>
      <c r="D81" s="511" t="n"/>
      <c r="E81" s="511" t="n"/>
      <c r="F81" s="548" t="n"/>
    </row>
    <row r="82">
      <c r="A82" s="547" t="n"/>
      <c r="B82" s="548" t="n"/>
      <c r="C82" s="511" t="n"/>
      <c r="D82" s="511" t="n"/>
      <c r="E82" s="511" t="n"/>
      <c r="F82" s="548" t="n"/>
    </row>
    <row r="83">
      <c r="A83" s="547" t="n"/>
      <c r="B83" s="548" t="n"/>
      <c r="C83" s="511" t="n"/>
      <c r="D83" s="511" t="n"/>
      <c r="E83" s="511" t="n"/>
      <c r="F83" s="548" t="n"/>
    </row>
    <row r="84">
      <c r="A84" s="547" t="n"/>
      <c r="B84" s="548" t="n"/>
      <c r="C84" s="511" t="n"/>
      <c r="D84" s="511" t="n"/>
      <c r="E84" s="511" t="n"/>
      <c r="F84" s="548" t="n"/>
    </row>
    <row r="85">
      <c r="A85" s="547" t="n"/>
      <c r="B85" s="548" t="n"/>
      <c r="C85" s="511" t="n"/>
      <c r="D85" s="511" t="n"/>
      <c r="E85" s="511" t="n"/>
      <c r="F85" s="548" t="n"/>
    </row>
    <row r="86">
      <c r="A86" s="547" t="n"/>
      <c r="B86" s="548" t="n"/>
      <c r="C86" s="511" t="n"/>
      <c r="D86" s="511" t="n"/>
      <c r="E86" s="511" t="n"/>
      <c r="F86" s="548" t="n"/>
    </row>
    <row r="87">
      <c r="A87" s="547" t="n"/>
      <c r="B87" s="548" t="n"/>
      <c r="C87" s="511" t="n"/>
      <c r="D87" s="511" t="n"/>
      <c r="E87" s="511" t="n"/>
      <c r="F87" s="548" t="n"/>
    </row>
    <row r="88">
      <c r="A88" s="547" t="n"/>
      <c r="B88" s="548" t="n"/>
      <c r="C88" s="511" t="n"/>
      <c r="D88" s="511" t="n"/>
      <c r="E88" s="511" t="n"/>
      <c r="F88" s="548" t="n"/>
    </row>
    <row r="89">
      <c r="A89" s="547" t="n"/>
      <c r="B89" s="548" t="n"/>
      <c r="C89" s="511" t="n"/>
      <c r="D89" s="511" t="n"/>
      <c r="E89" s="511" t="n"/>
      <c r="F89" s="548" t="n"/>
    </row>
    <row r="90">
      <c r="A90" s="547" t="n"/>
      <c r="B90" s="548" t="n"/>
      <c r="C90" s="511" t="n"/>
      <c r="D90" s="511" t="n"/>
      <c r="E90" s="511" t="n"/>
      <c r="F90" s="548" t="n"/>
    </row>
    <row r="91">
      <c r="A91" s="547" t="n"/>
      <c r="B91" s="548" t="n"/>
      <c r="C91" s="511" t="n"/>
      <c r="D91" s="511" t="n"/>
      <c r="E91" s="511" t="n"/>
      <c r="F91" s="548" t="n"/>
    </row>
    <row r="92">
      <c r="A92" s="547" t="n"/>
      <c r="B92" s="548" t="n"/>
      <c r="C92" s="511" t="n"/>
      <c r="D92" s="511" t="n"/>
      <c r="E92" s="511" t="n"/>
      <c r="F92" s="548" t="n"/>
    </row>
    <row r="93">
      <c r="A93" s="547" t="n"/>
      <c r="B93" s="548" t="n"/>
      <c r="C93" s="511" t="n"/>
      <c r="D93" s="511" t="n"/>
      <c r="E93" s="511" t="n"/>
      <c r="F93" s="548" t="n"/>
    </row>
    <row r="94">
      <c r="A94" s="547" t="n"/>
      <c r="B94" s="548" t="n"/>
      <c r="C94" s="511" t="n"/>
      <c r="D94" s="511" t="n"/>
      <c r="E94" s="511" t="n"/>
      <c r="F94" s="548" t="n"/>
    </row>
    <row r="95">
      <c r="A95" s="547" t="n"/>
      <c r="B95" s="548" t="n"/>
      <c r="C95" s="511" t="n"/>
      <c r="D95" s="511" t="n"/>
      <c r="E95" s="511" t="n"/>
      <c r="F95" s="548" t="n"/>
    </row>
    <row r="96">
      <c r="A96" s="547" t="n"/>
      <c r="B96" s="548" t="n"/>
      <c r="C96" s="511" t="n"/>
      <c r="D96" s="511" t="n"/>
      <c r="E96" s="511" t="n"/>
      <c r="F96" s="548" t="n"/>
    </row>
    <row r="97">
      <c r="A97" s="547" t="n"/>
      <c r="B97" s="548" t="n"/>
      <c r="C97" s="511" t="n"/>
      <c r="D97" s="511" t="n"/>
      <c r="E97" s="511" t="n"/>
      <c r="F97" s="548" t="n"/>
    </row>
    <row r="98">
      <c r="A98" s="547" t="n"/>
      <c r="B98" s="548" t="n"/>
      <c r="C98" s="511" t="n"/>
      <c r="D98" s="511" t="n"/>
      <c r="E98" s="511" t="n"/>
      <c r="F98" s="548" t="n"/>
    </row>
    <row r="99">
      <c r="A99" s="547" t="n"/>
      <c r="B99" s="548" t="n"/>
      <c r="C99" s="511" t="n"/>
      <c r="D99" s="511" t="n"/>
      <c r="E99" s="511" t="n"/>
      <c r="F99" s="548" t="n"/>
    </row>
    <row r="100">
      <c r="A100" s="547" t="n"/>
      <c r="B100" s="548" t="n"/>
      <c r="C100" s="511" t="n"/>
      <c r="D100" s="511" t="n"/>
      <c r="E100" s="511" t="n"/>
      <c r="F100" s="548" t="n"/>
    </row>
    <row r="101">
      <c r="A101" s="547" t="n"/>
      <c r="B101" s="548" t="n"/>
      <c r="C101" s="511" t="n"/>
      <c r="D101" s="511" t="n"/>
      <c r="E101" s="511" t="n"/>
      <c r="F101" s="548" t="n"/>
    </row>
    <row r="102">
      <c r="A102" s="547" t="n"/>
      <c r="B102" s="548" t="n"/>
      <c r="C102" s="511" t="n"/>
      <c r="D102" s="511" t="n"/>
      <c r="E102" s="511" t="n"/>
      <c r="F102" s="548" t="n"/>
    </row>
    <row r="103">
      <c r="A103" s="547" t="n"/>
      <c r="B103" s="548" t="n"/>
      <c r="C103" s="511" t="n"/>
      <c r="D103" s="511" t="n"/>
      <c r="E103" s="511" t="n"/>
      <c r="F103" s="548" t="n"/>
    </row>
    <row r="104">
      <c r="A104" s="547" t="n"/>
      <c r="B104" s="548" t="n"/>
      <c r="C104" s="511" t="n"/>
      <c r="D104" s="511" t="n"/>
      <c r="E104" s="511" t="n"/>
      <c r="F104" s="548" t="n"/>
    </row>
    <row r="105">
      <c r="A105" s="547" t="n"/>
      <c r="B105" s="548" t="n"/>
      <c r="C105" s="511" t="n"/>
      <c r="D105" s="511" t="n"/>
      <c r="E105" s="511" t="n"/>
      <c r="F105" s="548" t="n"/>
    </row>
    <row r="106">
      <c r="A106" s="547" t="n"/>
      <c r="B106" s="548" t="n"/>
      <c r="C106" s="511" t="n"/>
      <c r="D106" s="511" t="n"/>
      <c r="E106" s="511" t="n"/>
      <c r="F106" s="548" t="n"/>
    </row>
    <row r="107">
      <c r="A107" s="547" t="n"/>
      <c r="B107" s="548" t="n"/>
      <c r="C107" s="511" t="n"/>
      <c r="D107" s="511" t="n"/>
      <c r="E107" s="511" t="n"/>
      <c r="F107" s="548" t="n"/>
    </row>
    <row r="108">
      <c r="A108" s="547" t="n"/>
      <c r="B108" s="548" t="n"/>
      <c r="C108" s="511" t="n"/>
      <c r="D108" s="511" t="n"/>
      <c r="E108" s="511" t="n"/>
      <c r="F108" s="548" t="n"/>
    </row>
    <row r="109">
      <c r="A109" s="547" t="n"/>
      <c r="B109" s="548" t="n"/>
      <c r="C109" s="511" t="n"/>
      <c r="D109" s="511" t="n"/>
      <c r="E109" s="511" t="n"/>
      <c r="F109" s="548" t="n"/>
    </row>
    <row r="110">
      <c r="A110" s="547" t="n"/>
      <c r="B110" s="548" t="n"/>
      <c r="C110" s="511" t="n"/>
      <c r="D110" s="511" t="n"/>
      <c r="E110" s="511" t="n"/>
      <c r="F110" s="548" t="n"/>
    </row>
    <row r="111">
      <c r="A111" s="547" t="n"/>
      <c r="B111" s="548" t="n"/>
      <c r="C111" s="511" t="n"/>
      <c r="D111" s="511" t="n"/>
      <c r="E111" s="511" t="n"/>
      <c r="F111" s="548" t="n"/>
    </row>
    <row r="112">
      <c r="A112" s="547" t="n"/>
      <c r="B112" s="548" t="n"/>
      <c r="C112" s="511" t="n"/>
      <c r="D112" s="511" t="n"/>
      <c r="E112" s="511" t="n"/>
      <c r="F112" s="548" t="n"/>
    </row>
    <row r="113">
      <c r="A113" s="547" t="n"/>
      <c r="B113" s="548" t="n"/>
      <c r="C113" s="511" t="n"/>
      <c r="D113" s="511" t="n"/>
      <c r="E113" s="511" t="n"/>
      <c r="F113" s="548" t="n"/>
    </row>
    <row r="114">
      <c r="A114" s="547" t="n"/>
      <c r="B114" s="548" t="n"/>
      <c r="C114" s="511" t="n"/>
      <c r="D114" s="511" t="n"/>
      <c r="E114" s="511" t="n"/>
      <c r="F114" s="548" t="n"/>
    </row>
    <row r="115">
      <c r="A115" s="547" t="n"/>
      <c r="B115" s="548" t="n"/>
      <c r="C115" s="511" t="n"/>
      <c r="D115" s="511" t="n"/>
      <c r="E115" s="511" t="n"/>
      <c r="F115" s="548" t="n"/>
    </row>
    <row r="116">
      <c r="A116" s="547" t="n"/>
      <c r="B116" s="548" t="n"/>
      <c r="C116" s="511" t="n"/>
      <c r="D116" s="511" t="n"/>
      <c r="E116" s="511" t="n"/>
      <c r="F116" s="548" t="n"/>
    </row>
    <row r="117">
      <c r="A117" s="547" t="n"/>
      <c r="B117" s="548" t="n"/>
      <c r="C117" s="511" t="n"/>
      <c r="D117" s="511" t="n"/>
      <c r="E117" s="511" t="n"/>
      <c r="F117" s="548" t="n"/>
    </row>
    <row r="118">
      <c r="A118" s="547" t="n"/>
      <c r="B118" s="548" t="n"/>
      <c r="C118" s="511" t="n"/>
      <c r="D118" s="511" t="n"/>
      <c r="E118" s="511" t="n"/>
      <c r="F118" s="548" t="n"/>
    </row>
    <row r="119">
      <c r="A119" s="547" t="n"/>
      <c r="B119" s="548" t="n"/>
      <c r="C119" s="511" t="n"/>
      <c r="D119" s="511" t="n"/>
      <c r="E119" s="511" t="n"/>
      <c r="F119" s="548" t="n"/>
    </row>
    <row r="120">
      <c r="A120" s="547" t="n"/>
      <c r="B120" s="548" t="n"/>
      <c r="C120" s="511" t="n"/>
      <c r="D120" s="511" t="n"/>
      <c r="E120" s="511" t="n"/>
      <c r="F120" s="548" t="n"/>
    </row>
    <row r="121">
      <c r="A121" s="547" t="n"/>
      <c r="B121" s="548" t="n"/>
      <c r="C121" s="511" t="n"/>
      <c r="D121" s="511" t="n"/>
      <c r="E121" s="511" t="n"/>
      <c r="F121" s="548" t="n"/>
    </row>
    <row r="122">
      <c r="A122" s="547" t="n"/>
      <c r="B122" s="548" t="n"/>
      <c r="C122" s="511" t="n"/>
      <c r="D122" s="511" t="n"/>
      <c r="E122" s="511" t="n"/>
      <c r="F122" s="548" t="n"/>
    </row>
    <row r="123">
      <c r="A123" s="547" t="n"/>
      <c r="B123" s="548" t="n"/>
      <c r="C123" s="511" t="n"/>
      <c r="D123" s="511" t="n"/>
      <c r="E123" s="511" t="n"/>
      <c r="F123" s="548" t="n"/>
    </row>
    <row r="124">
      <c r="A124" s="547" t="n"/>
      <c r="B124" s="548" t="n"/>
      <c r="C124" s="511" t="n"/>
      <c r="D124" s="511" t="n"/>
      <c r="E124" s="511" t="n"/>
      <c r="F124" s="548" t="n"/>
    </row>
    <row r="125">
      <c r="A125" s="547" t="n"/>
      <c r="B125" s="548" t="n"/>
      <c r="C125" s="511" t="n"/>
      <c r="D125" s="511" t="n"/>
      <c r="E125" s="511" t="n"/>
      <c r="F125" s="548" t="n"/>
    </row>
    <row r="126">
      <c r="A126" s="547" t="n"/>
      <c r="B126" s="548" t="n"/>
      <c r="C126" s="511" t="n"/>
      <c r="D126" s="511" t="n"/>
      <c r="E126" s="511" t="n"/>
      <c r="F126" s="548" t="n"/>
    </row>
    <row r="127">
      <c r="A127" s="547" t="n"/>
      <c r="B127" s="548" t="n"/>
      <c r="C127" s="511" t="n"/>
      <c r="D127" s="511" t="n"/>
      <c r="E127" s="511" t="n"/>
      <c r="F127" s="548" t="n"/>
    </row>
    <row r="128">
      <c r="A128" s="547" t="n"/>
      <c r="B128" s="548" t="n"/>
      <c r="C128" s="511" t="n"/>
      <c r="D128" s="511" t="n"/>
      <c r="E128" s="511" t="n"/>
      <c r="F128" s="548" t="n"/>
    </row>
    <row r="129">
      <c r="A129" s="547" t="n"/>
      <c r="B129" s="548" t="n"/>
      <c r="C129" s="511" t="n"/>
      <c r="D129" s="511" t="n"/>
      <c r="E129" s="511" t="n"/>
      <c r="F129" s="548" t="n"/>
    </row>
    <row r="130">
      <c r="A130" s="547" t="n"/>
      <c r="B130" s="548" t="n"/>
      <c r="C130" s="511" t="n"/>
      <c r="D130" s="511" t="n"/>
      <c r="E130" s="511" t="n"/>
      <c r="F130" s="548" t="n"/>
    </row>
    <row r="131">
      <c r="A131" s="547" t="n"/>
      <c r="B131" s="548" t="n"/>
      <c r="C131" s="511" t="n"/>
      <c r="D131" s="511" t="n"/>
      <c r="E131" s="511" t="n"/>
      <c r="F131" s="548" t="n"/>
    </row>
    <row r="132">
      <c r="A132" s="547" t="n"/>
      <c r="B132" s="548" t="n"/>
      <c r="C132" s="511" t="n"/>
      <c r="D132" s="511" t="n"/>
      <c r="E132" s="511" t="n"/>
      <c r="F132" s="548" t="n"/>
    </row>
    <row r="133">
      <c r="A133" s="547" t="n"/>
      <c r="B133" s="548" t="n"/>
      <c r="C133" s="511" t="n"/>
      <c r="D133" s="511" t="n"/>
      <c r="E133" s="511" t="n"/>
      <c r="F133" s="548" t="n"/>
    </row>
    <row r="134">
      <c r="A134" s="547" t="n"/>
      <c r="B134" s="548" t="n"/>
      <c r="C134" s="511" t="n"/>
      <c r="D134" s="511" t="n"/>
      <c r="E134" s="511" t="n"/>
      <c r="F134" s="548" t="n"/>
    </row>
    <row r="135">
      <c r="A135" s="547" t="n"/>
      <c r="B135" s="548" t="n"/>
      <c r="C135" s="511" t="n"/>
      <c r="D135" s="511" t="n"/>
      <c r="E135" s="511" t="n"/>
      <c r="F135" s="548" t="n"/>
    </row>
    <row r="136">
      <c r="A136" s="547" t="n"/>
      <c r="B136" s="548" t="n"/>
      <c r="C136" s="511" t="n"/>
      <c r="D136" s="511" t="n"/>
      <c r="E136" s="511" t="n"/>
      <c r="F136" s="548" t="n"/>
    </row>
    <row r="137">
      <c r="A137" s="547" t="n"/>
      <c r="B137" s="548" t="n"/>
      <c r="C137" s="511" t="n"/>
      <c r="D137" s="511" t="n"/>
      <c r="E137" s="511" t="n"/>
      <c r="F137" s="548" t="n"/>
    </row>
    <row r="138">
      <c r="A138" s="547" t="n"/>
      <c r="B138" s="548" t="n"/>
      <c r="C138" s="511" t="n"/>
      <c r="D138" s="511" t="n"/>
      <c r="E138" s="511" t="n"/>
      <c r="F138" s="548" t="n"/>
    </row>
    <row r="139">
      <c r="A139" s="547" t="n"/>
      <c r="B139" s="548" t="n"/>
      <c r="C139" s="511" t="n"/>
      <c r="D139" s="511" t="n"/>
      <c r="E139" s="511" t="n"/>
      <c r="F139" s="548" t="n"/>
    </row>
    <row r="140">
      <c r="A140" s="547" t="n"/>
      <c r="B140" s="548" t="n"/>
      <c r="C140" s="511" t="n"/>
      <c r="D140" s="511" t="n"/>
      <c r="E140" s="511" t="n"/>
      <c r="F140" s="548" t="n"/>
    </row>
    <row r="141">
      <c r="A141" s="547" t="n"/>
      <c r="B141" s="548" t="n"/>
      <c r="C141" s="511" t="n"/>
      <c r="D141" s="511" t="n"/>
      <c r="E141" s="511" t="n"/>
      <c r="F141" s="548" t="n"/>
    </row>
    <row r="142">
      <c r="A142" s="547" t="n"/>
      <c r="B142" s="548" t="n"/>
      <c r="C142" s="511" t="n"/>
      <c r="D142" s="511" t="n"/>
      <c r="E142" s="511" t="n"/>
      <c r="F142" s="548" t="n"/>
    </row>
    <row r="143">
      <c r="A143" s="547" t="n"/>
      <c r="B143" s="548" t="n"/>
      <c r="C143" s="511" t="n"/>
      <c r="D143" s="511" t="n"/>
      <c r="E143" s="511" t="n"/>
      <c r="F143" s="548" t="n"/>
    </row>
    <row r="144">
      <c r="A144" s="547" t="n"/>
      <c r="B144" s="548" t="n"/>
      <c r="C144" s="511" t="n"/>
      <c r="D144" s="511" t="n"/>
      <c r="E144" s="511" t="n"/>
      <c r="F144" s="548" t="n"/>
    </row>
    <row r="145">
      <c r="A145" s="547" t="n"/>
      <c r="B145" s="548" t="n"/>
      <c r="C145" s="511" t="n"/>
      <c r="D145" s="511" t="n"/>
      <c r="E145" s="511" t="n"/>
      <c r="F145" s="548" t="n"/>
    </row>
    <row r="146">
      <c r="A146" s="547" t="n"/>
      <c r="B146" s="548" t="n"/>
      <c r="C146" s="511" t="n"/>
      <c r="D146" s="511" t="n"/>
      <c r="E146" s="511" t="n"/>
      <c r="F146" s="548" t="n"/>
    </row>
    <row r="147">
      <c r="A147" s="547" t="n"/>
      <c r="B147" s="548" t="n"/>
      <c r="C147" s="511" t="n"/>
      <c r="D147" s="511" t="n"/>
      <c r="E147" s="511" t="n"/>
      <c r="F147" s="548" t="n"/>
    </row>
    <row r="148">
      <c r="A148" s="547" t="n"/>
      <c r="B148" s="548" t="n"/>
      <c r="C148" s="511" t="n"/>
      <c r="D148" s="511" t="n"/>
      <c r="E148" s="511" t="n"/>
      <c r="F148" s="548" t="n"/>
    </row>
    <row r="149">
      <c r="A149" s="547" t="n"/>
      <c r="B149" s="548" t="n"/>
      <c r="C149" s="511" t="n"/>
      <c r="D149" s="511" t="n"/>
      <c r="E149" s="511" t="n"/>
      <c r="F149" s="548" t="n"/>
    </row>
    <row r="150">
      <c r="A150" s="547" t="n"/>
      <c r="B150" s="548" t="n"/>
      <c r="C150" s="511" t="n"/>
      <c r="D150" s="511" t="n"/>
      <c r="E150" s="511" t="n"/>
      <c r="F150" s="548" t="n"/>
    </row>
    <row r="151">
      <c r="A151" s="547" t="n"/>
      <c r="B151" s="548" t="n"/>
      <c r="C151" s="511" t="n"/>
      <c r="D151" s="511" t="n"/>
      <c r="E151" s="511" t="n"/>
      <c r="F151" s="548" t="n"/>
    </row>
    <row r="152">
      <c r="A152" s="547" t="n"/>
      <c r="B152" s="548" t="n"/>
      <c r="C152" s="511" t="n"/>
      <c r="D152" s="511" t="n"/>
      <c r="E152" s="511" t="n"/>
      <c r="F152" s="548" t="n"/>
    </row>
    <row r="153">
      <c r="A153" s="547" t="n"/>
      <c r="B153" s="548" t="n"/>
      <c r="C153" s="511" t="n"/>
      <c r="D153" s="511" t="n"/>
      <c r="E153" s="511" t="n"/>
      <c r="F153" s="548" t="n"/>
    </row>
    <row r="154">
      <c r="A154" s="547" t="n"/>
      <c r="B154" s="548" t="n"/>
      <c r="C154" s="511" t="n"/>
      <c r="D154" s="511" t="n"/>
      <c r="E154" s="511" t="n"/>
      <c r="F154" s="548" t="n"/>
    </row>
    <row r="155">
      <c r="A155" s="547" t="n"/>
      <c r="B155" s="548" t="n"/>
      <c r="C155" s="511" t="n"/>
      <c r="D155" s="511" t="n"/>
      <c r="E155" s="511" t="n"/>
      <c r="F155" s="548" t="n"/>
    </row>
    <row r="156">
      <c r="A156" s="547" t="n"/>
      <c r="B156" s="548" t="n"/>
      <c r="C156" s="511" t="n"/>
      <c r="D156" s="511" t="n"/>
      <c r="E156" s="511" t="n"/>
      <c r="F156" s="548" t="n"/>
    </row>
    <row r="157">
      <c r="A157" s="547" t="n"/>
      <c r="B157" s="548" t="n"/>
      <c r="C157" s="511" t="n"/>
      <c r="D157" s="511" t="n"/>
      <c r="E157" s="511" t="n"/>
      <c r="F157" s="548" t="n"/>
    </row>
    <row r="158">
      <c r="A158" s="547" t="n"/>
      <c r="B158" s="548" t="n"/>
      <c r="C158" s="511" t="n"/>
      <c r="D158" s="511" t="n"/>
      <c r="E158" s="511" t="n"/>
      <c r="F158" s="548" t="n"/>
    </row>
    <row r="159">
      <c r="A159" s="547" t="n"/>
      <c r="B159" s="548" t="n"/>
      <c r="C159" s="511" t="n"/>
      <c r="D159" s="511" t="n"/>
      <c r="E159" s="511" t="n"/>
      <c r="F159" s="548" t="n"/>
    </row>
    <row r="160">
      <c r="A160" s="547" t="n"/>
      <c r="B160" s="548" t="n"/>
      <c r="C160" s="511" t="n"/>
      <c r="D160" s="511" t="n"/>
      <c r="E160" s="511" t="n"/>
      <c r="F160" s="548" t="n"/>
    </row>
    <row r="161">
      <c r="A161" s="547" t="n"/>
      <c r="B161" s="548" t="n"/>
      <c r="C161" s="511" t="n"/>
      <c r="D161" s="511" t="n"/>
      <c r="E161" s="511" t="n"/>
      <c r="F161" s="548" t="n"/>
    </row>
    <row r="162">
      <c r="A162" s="547" t="n"/>
      <c r="B162" s="548" t="n"/>
      <c r="C162" s="511" t="n"/>
      <c r="D162" s="511" t="n"/>
      <c r="E162" s="511" t="n"/>
      <c r="F162" s="548" t="n"/>
    </row>
    <row r="163">
      <c r="A163" s="547" t="n"/>
      <c r="B163" s="548" t="n"/>
      <c r="C163" s="511" t="n"/>
      <c r="D163" s="511" t="n"/>
      <c r="E163" s="511" t="n"/>
      <c r="F163" s="548" t="n"/>
    </row>
    <row r="164">
      <c r="A164" s="547" t="n"/>
      <c r="B164" s="548" t="n"/>
      <c r="C164" s="511" t="n"/>
      <c r="D164" s="511" t="n"/>
      <c r="E164" s="511" t="n"/>
      <c r="F164" s="548" t="n"/>
    </row>
    <row r="165">
      <c r="A165" s="547" t="n"/>
      <c r="B165" s="548" t="n"/>
      <c r="C165" s="511" t="n"/>
      <c r="D165" s="511" t="n"/>
      <c r="E165" s="511" t="n"/>
      <c r="F165" s="548" t="n"/>
    </row>
    <row r="166">
      <c r="A166" s="547" t="n"/>
      <c r="B166" s="548" t="n"/>
      <c r="C166" s="511" t="n"/>
      <c r="D166" s="511" t="n"/>
      <c r="E166" s="511" t="n"/>
      <c r="F166" s="548" t="n"/>
    </row>
    <row r="167">
      <c r="A167" s="547" t="n"/>
      <c r="B167" s="548" t="n"/>
      <c r="C167" s="511" t="n"/>
      <c r="D167" s="511" t="n"/>
      <c r="E167" s="511" t="n"/>
      <c r="F167" s="548" t="n"/>
    </row>
    <row r="168">
      <c r="A168" s="547" t="n"/>
      <c r="B168" s="548" t="n"/>
      <c r="C168" s="511" t="n"/>
      <c r="D168" s="511" t="n"/>
      <c r="E168" s="511" t="n"/>
      <c r="F168" s="548" t="n"/>
    </row>
    <row r="169">
      <c r="A169" s="547" t="n"/>
      <c r="B169" s="548" t="n"/>
      <c r="C169" s="511" t="n"/>
      <c r="D169" s="511" t="n"/>
      <c r="E169" s="511" t="n"/>
      <c r="F169" s="548" t="n"/>
    </row>
    <row r="170">
      <c r="A170" s="547" t="n"/>
      <c r="B170" s="548" t="n"/>
      <c r="C170" s="511" t="n"/>
      <c r="D170" s="511" t="n"/>
      <c r="E170" s="511" t="n"/>
      <c r="F170" s="548" t="n"/>
    </row>
    <row r="171">
      <c r="A171" s="547" t="n"/>
      <c r="B171" s="548" t="n"/>
      <c r="C171" s="511" t="n"/>
      <c r="D171" s="511" t="n"/>
      <c r="E171" s="511" t="n"/>
      <c r="F171" s="548" t="n"/>
    </row>
    <row r="172">
      <c r="A172" s="547" t="n"/>
      <c r="B172" s="548" t="n"/>
      <c r="C172" s="511" t="n"/>
      <c r="D172" s="511" t="n"/>
      <c r="E172" s="511" t="n"/>
      <c r="F172" s="548" t="n"/>
    </row>
    <row r="173">
      <c r="A173" s="547" t="n"/>
      <c r="B173" s="548" t="n"/>
      <c r="C173" s="511" t="n"/>
      <c r="D173" s="511" t="n"/>
      <c r="E173" s="511" t="n"/>
      <c r="F173" s="548" t="n"/>
    </row>
    <row r="174">
      <c r="A174" s="547" t="n"/>
      <c r="B174" s="548" t="n"/>
      <c r="C174" s="511" t="n"/>
      <c r="D174" s="511" t="n"/>
      <c r="E174" s="511" t="n"/>
      <c r="F174" s="548" t="n"/>
    </row>
    <row r="175">
      <c r="A175" s="547" t="n"/>
      <c r="B175" s="548" t="n"/>
      <c r="C175" s="511" t="n"/>
      <c r="D175" s="511" t="n"/>
      <c r="E175" s="511" t="n"/>
      <c r="F175" s="548" t="n"/>
    </row>
    <row r="176">
      <c r="A176" s="547" t="n"/>
      <c r="B176" s="548" t="n"/>
      <c r="C176" s="511" t="n"/>
      <c r="D176" s="511" t="n"/>
      <c r="E176" s="511" t="n"/>
      <c r="F176" s="548" t="n"/>
    </row>
    <row r="177">
      <c r="A177" s="547" t="n"/>
      <c r="B177" s="548" t="n"/>
      <c r="C177" s="511" t="n"/>
      <c r="D177" s="511" t="n"/>
      <c r="E177" s="511" t="n"/>
      <c r="F177" s="548" t="n"/>
    </row>
    <row r="178">
      <c r="A178" s="547" t="n"/>
      <c r="B178" s="548" t="n"/>
      <c r="C178" s="511" t="n"/>
      <c r="D178" s="511" t="n"/>
      <c r="E178" s="511" t="n"/>
      <c r="F178" s="548" t="n"/>
    </row>
    <row r="179">
      <c r="A179" s="547" t="n"/>
      <c r="B179" s="548" t="n"/>
      <c r="C179" s="511" t="n"/>
      <c r="D179" s="511" t="n"/>
      <c r="E179" s="511" t="n"/>
      <c r="F179" s="548" t="n"/>
    </row>
    <row r="180">
      <c r="A180" s="547" t="n"/>
      <c r="B180" s="548" t="n"/>
      <c r="C180" s="511" t="n"/>
      <c r="D180" s="511" t="n"/>
      <c r="E180" s="511" t="n"/>
      <c r="F180" s="548" t="n"/>
    </row>
    <row r="181">
      <c r="A181" s="547" t="n"/>
      <c r="B181" s="548" t="n"/>
      <c r="C181" s="511" t="n"/>
      <c r="D181" s="511" t="n"/>
      <c r="E181" s="511" t="n"/>
      <c r="F181" s="548" t="n"/>
    </row>
    <row r="182">
      <c r="A182" s="547" t="n"/>
      <c r="B182" s="548" t="n"/>
      <c r="C182" s="511" t="n"/>
      <c r="D182" s="511" t="n"/>
      <c r="E182" s="511" t="n"/>
      <c r="F182" s="548" t="n"/>
    </row>
    <row r="183">
      <c r="A183" s="547" t="n"/>
      <c r="B183" s="548" t="n"/>
      <c r="C183" s="511" t="n"/>
      <c r="D183" s="511" t="n"/>
      <c r="E183" s="511" t="n"/>
      <c r="F183" s="548" t="n"/>
    </row>
    <row r="184">
      <c r="A184" s="547" t="n"/>
      <c r="B184" s="548" t="n"/>
      <c r="C184" s="511" t="n"/>
      <c r="D184" s="511" t="n"/>
      <c r="E184" s="511" t="n"/>
      <c r="F184" s="548" t="n"/>
    </row>
    <row r="185">
      <c r="A185" s="547" t="n"/>
      <c r="B185" s="548" t="n"/>
      <c r="C185" s="511" t="n"/>
      <c r="D185" s="511" t="n"/>
      <c r="E185" s="511" t="n"/>
      <c r="F185" s="548" t="n"/>
    </row>
    <row r="186">
      <c r="A186" s="547" t="n"/>
      <c r="B186" s="548" t="n"/>
      <c r="C186" s="511" t="n"/>
      <c r="D186" s="511" t="n"/>
      <c r="E186" s="511" t="n"/>
      <c r="F186" s="548" t="n"/>
    </row>
    <row r="187">
      <c r="A187" s="547" t="n"/>
      <c r="B187" s="548" t="n"/>
      <c r="C187" s="511" t="n"/>
      <c r="D187" s="511" t="n"/>
      <c r="E187" s="511" t="n"/>
      <c r="F187" s="548" t="n"/>
    </row>
    <row r="188">
      <c r="A188" s="547" t="n"/>
      <c r="B188" s="548" t="n"/>
      <c r="C188" s="511" t="n"/>
      <c r="D188" s="511" t="n"/>
      <c r="E188" s="511" t="n"/>
      <c r="F188" s="548" t="n"/>
    </row>
    <row r="189">
      <c r="A189" s="547" t="n"/>
      <c r="B189" s="548" t="n"/>
      <c r="C189" s="511" t="n"/>
      <c r="D189" s="511" t="n"/>
      <c r="E189" s="511" t="n"/>
      <c r="F189" s="548" t="n"/>
    </row>
    <row r="190">
      <c r="A190" s="547" t="n"/>
      <c r="B190" s="548" t="n"/>
      <c r="C190" s="511" t="n"/>
      <c r="D190" s="511" t="n"/>
      <c r="E190" s="511" t="n"/>
      <c r="F190" s="548" t="n"/>
    </row>
    <row r="191">
      <c r="A191" s="547" t="n"/>
      <c r="B191" s="548" t="n"/>
      <c r="C191" s="511" t="n"/>
      <c r="D191" s="511" t="n"/>
      <c r="E191" s="511" t="n"/>
      <c r="F191" s="548" t="n"/>
    </row>
    <row r="192">
      <c r="A192" s="547" t="n"/>
      <c r="B192" s="548" t="n"/>
      <c r="C192" s="511" t="n"/>
      <c r="D192" s="511" t="n"/>
      <c r="E192" s="511" t="n"/>
      <c r="F192" s="548" t="n"/>
    </row>
    <row r="193">
      <c r="A193" s="547" t="n"/>
      <c r="B193" s="548" t="n"/>
      <c r="C193" s="511" t="n"/>
      <c r="D193" s="511" t="n"/>
      <c r="E193" s="511" t="n"/>
      <c r="F193" s="548" t="n"/>
    </row>
    <row r="194">
      <c r="A194" s="547" t="n"/>
      <c r="B194" s="548" t="n"/>
      <c r="C194" s="511" t="n"/>
      <c r="D194" s="511" t="n"/>
      <c r="E194" s="511" t="n"/>
      <c r="F194" s="548" t="n"/>
    </row>
    <row r="195">
      <c r="A195" s="547" t="n"/>
      <c r="B195" s="548" t="n"/>
      <c r="C195" s="511" t="n"/>
      <c r="D195" s="511" t="n"/>
      <c r="E195" s="511" t="n"/>
      <c r="F195" s="548" t="n"/>
    </row>
    <row r="196">
      <c r="A196" s="547" t="n"/>
      <c r="B196" s="548" t="n"/>
      <c r="C196" s="511" t="n"/>
      <c r="D196" s="511" t="n"/>
      <c r="E196" s="511" t="n"/>
      <c r="F196" s="548" t="n"/>
    </row>
    <row r="197">
      <c r="A197" s="547" t="n"/>
      <c r="B197" s="548" t="n"/>
      <c r="C197" s="511" t="n"/>
      <c r="D197" s="511" t="n"/>
      <c r="E197" s="511" t="n"/>
      <c r="F197" s="548" t="n"/>
    </row>
    <row r="198">
      <c r="A198" s="547" t="n"/>
      <c r="B198" s="548" t="n"/>
      <c r="C198" s="511" t="n"/>
      <c r="D198" s="511" t="n"/>
      <c r="E198" s="511" t="n"/>
      <c r="F198" s="548" t="n"/>
    </row>
    <row r="199">
      <c r="A199" s="547" t="n"/>
      <c r="B199" s="548" t="n"/>
      <c r="C199" s="511" t="n"/>
      <c r="D199" s="511" t="n"/>
      <c r="E199" s="511" t="n"/>
      <c r="F199" s="548" t="n"/>
    </row>
    <row r="200">
      <c r="A200" s="547" t="n"/>
      <c r="B200" s="548" t="n"/>
      <c r="C200" s="511" t="n"/>
      <c r="D200" s="511" t="n"/>
      <c r="E200" s="511" t="n"/>
      <c r="F200" s="548" t="n"/>
    </row>
    <row r="201">
      <c r="A201" s="547" t="n"/>
      <c r="B201" s="548" t="n"/>
      <c r="C201" s="511" t="n"/>
      <c r="D201" s="511" t="n"/>
      <c r="E201" s="511" t="n"/>
      <c r="F201" s="548" t="n"/>
    </row>
    <row r="202">
      <c r="A202" s="547" t="n"/>
      <c r="B202" s="548" t="n"/>
      <c r="C202" s="511" t="n"/>
      <c r="D202" s="511" t="n"/>
      <c r="E202" s="511" t="n"/>
      <c r="F202" s="548" t="n"/>
    </row>
    <row r="203">
      <c r="A203" s="547" t="n"/>
      <c r="B203" s="548" t="n"/>
      <c r="C203" s="511" t="n"/>
      <c r="D203" s="511" t="n"/>
      <c r="E203" s="511" t="n"/>
      <c r="F203" s="548" t="n"/>
    </row>
    <row r="204">
      <c r="A204" s="547" t="n"/>
      <c r="B204" s="548" t="n"/>
      <c r="C204" s="511" t="n"/>
      <c r="D204" s="511" t="n"/>
      <c r="E204" s="511" t="n"/>
      <c r="F204" s="548" t="n"/>
    </row>
    <row r="205">
      <c r="A205" s="547" t="n"/>
      <c r="B205" s="548" t="n"/>
      <c r="C205" s="511" t="n"/>
      <c r="D205" s="511" t="n"/>
      <c r="E205" s="511" t="n"/>
      <c r="F205" s="548" t="n"/>
    </row>
    <row r="206">
      <c r="A206" s="547" t="n"/>
      <c r="B206" s="548" t="n"/>
      <c r="C206" s="511" t="n"/>
      <c r="D206" s="511" t="n"/>
      <c r="E206" s="511" t="n"/>
      <c r="F206" s="548" t="n"/>
    </row>
    <row r="207">
      <c r="A207" s="547" t="n"/>
      <c r="B207" s="548" t="n"/>
      <c r="C207" s="511" t="n"/>
      <c r="D207" s="511" t="n"/>
      <c r="E207" s="511" t="n"/>
      <c r="F207" s="548" t="n"/>
    </row>
    <row r="208">
      <c r="A208" s="547" t="n"/>
      <c r="B208" s="548" t="n"/>
      <c r="C208" s="511" t="n"/>
      <c r="D208" s="511" t="n"/>
      <c r="E208" s="511" t="n"/>
      <c r="F208" s="548" t="n"/>
    </row>
    <row r="209">
      <c r="A209" s="547" t="n"/>
      <c r="B209" s="548" t="n"/>
      <c r="C209" s="511" t="n"/>
      <c r="D209" s="511" t="n"/>
      <c r="E209" s="511" t="n"/>
      <c r="F209" s="548" t="n"/>
    </row>
    <row r="210">
      <c r="A210" s="547" t="n"/>
      <c r="B210" s="548" t="n"/>
      <c r="C210" s="511" t="n"/>
      <c r="D210" s="511" t="n"/>
      <c r="E210" s="511" t="n"/>
      <c r="F210" s="548" t="n"/>
    </row>
    <row r="211">
      <c r="A211" s="547" t="n"/>
      <c r="B211" s="548" t="n"/>
      <c r="C211" s="511" t="n"/>
      <c r="D211" s="511" t="n"/>
      <c r="E211" s="511" t="n"/>
      <c r="F211" s="548" t="n"/>
    </row>
    <row r="212">
      <c r="A212" s="547" t="n"/>
      <c r="B212" s="548" t="n"/>
      <c r="C212" s="511" t="n"/>
      <c r="D212" s="511" t="n"/>
      <c r="E212" s="511" t="n"/>
      <c r="F212" s="548" t="n"/>
    </row>
    <row r="213">
      <c r="A213" s="547" t="n"/>
      <c r="B213" s="548" t="n"/>
      <c r="C213" s="511" t="n"/>
      <c r="D213" s="511" t="n"/>
      <c r="E213" s="511" t="n"/>
      <c r="F213" s="548" t="n"/>
    </row>
    <row r="214">
      <c r="A214" s="547" t="n"/>
      <c r="B214" s="548" t="n"/>
      <c r="C214" s="511" t="n"/>
      <c r="D214" s="511" t="n"/>
      <c r="E214" s="511" t="n"/>
      <c r="F214" s="548" t="n"/>
    </row>
    <row r="215">
      <c r="A215" s="547" t="n"/>
      <c r="B215" s="548" t="n"/>
      <c r="C215" s="511" t="n"/>
      <c r="D215" s="511" t="n"/>
      <c r="E215" s="511" t="n"/>
      <c r="F215" s="548" t="n"/>
    </row>
    <row r="216">
      <c r="A216" s="547" t="n"/>
      <c r="B216" s="548" t="n"/>
      <c r="C216" s="511" t="n"/>
      <c r="D216" s="511" t="n"/>
      <c r="E216" s="511" t="n"/>
      <c r="F216" s="548" t="n"/>
    </row>
    <row r="217">
      <c r="A217" s="547" t="n"/>
      <c r="B217" s="548" t="n"/>
      <c r="C217" s="511" t="n"/>
      <c r="D217" s="511" t="n"/>
      <c r="E217" s="511" t="n"/>
      <c r="F217" s="548" t="n"/>
    </row>
    <row r="218">
      <c r="A218" s="547" t="n"/>
      <c r="B218" s="548" t="n"/>
      <c r="C218" s="511" t="n"/>
      <c r="D218" s="511" t="n"/>
      <c r="E218" s="511" t="n"/>
      <c r="F218" s="548" t="n"/>
    </row>
    <row r="219">
      <c r="A219" s="547" t="n"/>
      <c r="B219" s="548" t="n"/>
      <c r="C219" s="511" t="n"/>
      <c r="D219" s="511" t="n"/>
      <c r="E219" s="511" t="n"/>
      <c r="F219" s="548" t="n"/>
    </row>
    <row r="220">
      <c r="A220" s="547" t="n"/>
      <c r="B220" s="548" t="n"/>
      <c r="C220" s="511" t="n"/>
      <c r="D220" s="511" t="n"/>
      <c r="E220" s="511" t="n"/>
      <c r="F220" s="548" t="n"/>
    </row>
    <row r="221">
      <c r="A221" s="547" t="n"/>
      <c r="B221" s="548" t="n"/>
      <c r="C221" s="511" t="n"/>
      <c r="D221" s="511" t="n"/>
      <c r="E221" s="511" t="n"/>
      <c r="F221" s="548" t="n"/>
    </row>
    <row r="222">
      <c r="A222" s="547" t="n"/>
      <c r="B222" s="548" t="n"/>
      <c r="C222" s="511" t="n"/>
      <c r="D222" s="511" t="n"/>
      <c r="E222" s="511" t="n"/>
      <c r="F222" s="548" t="n"/>
    </row>
    <row r="223">
      <c r="A223" s="547" t="n"/>
      <c r="B223" s="548" t="n"/>
      <c r="C223" s="511" t="n"/>
      <c r="D223" s="511" t="n"/>
      <c r="E223" s="511" t="n"/>
      <c r="F223" s="548" t="n"/>
    </row>
    <row r="224">
      <c r="A224" s="547" t="n"/>
      <c r="B224" s="548" t="n"/>
      <c r="C224" s="511" t="n"/>
      <c r="D224" s="511" t="n"/>
      <c r="E224" s="511" t="n"/>
      <c r="F224" s="548" t="n"/>
    </row>
    <row r="225">
      <c r="A225" s="547" t="n"/>
      <c r="B225" s="548" t="n"/>
      <c r="C225" s="511" t="n"/>
      <c r="D225" s="511" t="n"/>
      <c r="E225" s="511" t="n"/>
      <c r="F225" s="548" t="n"/>
    </row>
    <row r="226">
      <c r="A226" s="547" t="n"/>
      <c r="B226" s="548" t="n"/>
      <c r="C226" s="511" t="n"/>
      <c r="D226" s="511" t="n"/>
      <c r="E226" s="511" t="n"/>
      <c r="F226" s="548" t="n"/>
    </row>
    <row r="227">
      <c r="A227" s="547" t="n"/>
      <c r="B227" s="548" t="n"/>
      <c r="C227" s="511" t="n"/>
      <c r="D227" s="511" t="n"/>
      <c r="E227" s="511" t="n"/>
      <c r="F227" s="548" t="n"/>
    </row>
    <row r="228">
      <c r="A228" s="547" t="n"/>
      <c r="B228" s="548" t="n"/>
      <c r="C228" s="511" t="n"/>
      <c r="D228" s="511" t="n"/>
      <c r="E228" s="511" t="n"/>
      <c r="F228" s="548" t="n"/>
    </row>
    <row r="229">
      <c r="A229" s="547" t="n"/>
      <c r="B229" s="548" t="n"/>
      <c r="C229" s="511" t="n"/>
      <c r="D229" s="511" t="n"/>
      <c r="E229" s="511" t="n"/>
      <c r="F229" s="548" t="n"/>
    </row>
    <row r="230">
      <c r="A230" s="547" t="n"/>
      <c r="B230" s="548" t="n"/>
      <c r="C230" s="511" t="n"/>
      <c r="D230" s="511" t="n"/>
      <c r="E230" s="511" t="n"/>
      <c r="F230" s="548" t="n"/>
    </row>
    <row r="231">
      <c r="A231" s="547" t="n"/>
      <c r="B231" s="548" t="n"/>
      <c r="C231" s="511" t="n"/>
      <c r="D231" s="511" t="n"/>
      <c r="E231" s="511" t="n"/>
      <c r="F231" s="548" t="n"/>
    </row>
    <row r="232">
      <c r="A232" s="547" t="n"/>
      <c r="B232" s="548" t="n"/>
      <c r="C232" s="511" t="n"/>
      <c r="D232" s="511" t="n"/>
      <c r="E232" s="511" t="n"/>
      <c r="F232" s="548" t="n"/>
    </row>
    <row r="233">
      <c r="A233" s="547" t="n"/>
      <c r="B233" s="548" t="n"/>
      <c r="C233" s="511" t="n"/>
      <c r="D233" s="511" t="n"/>
      <c r="E233" s="511" t="n"/>
      <c r="F233" s="548" t="n"/>
    </row>
    <row r="234">
      <c r="A234" s="547" t="n"/>
      <c r="B234" s="548" t="n"/>
      <c r="C234" s="511" t="n"/>
      <c r="D234" s="511" t="n"/>
      <c r="E234" s="511" t="n"/>
      <c r="F234" s="548" t="n"/>
    </row>
    <row r="235">
      <c r="A235" s="547" t="n"/>
      <c r="B235" s="548" t="n"/>
      <c r="C235" s="511" t="n"/>
      <c r="D235" s="511" t="n"/>
      <c r="E235" s="511" t="n"/>
      <c r="F235" s="548" t="n"/>
    </row>
    <row r="236">
      <c r="A236" s="547" t="n"/>
      <c r="B236" s="548" t="n"/>
      <c r="C236" s="511" t="n"/>
      <c r="D236" s="511" t="n"/>
      <c r="E236" s="511" t="n"/>
      <c r="F236" s="548" t="n"/>
    </row>
    <row r="237">
      <c r="A237" s="547" t="n"/>
      <c r="B237" s="548" t="n"/>
      <c r="C237" s="511" t="n"/>
      <c r="D237" s="511" t="n"/>
      <c r="E237" s="511" t="n"/>
      <c r="F237" s="548" t="n"/>
    </row>
    <row r="238">
      <c r="A238" s="547" t="n"/>
      <c r="B238" s="548" t="n"/>
      <c r="C238" s="511" t="n"/>
      <c r="D238" s="511" t="n"/>
      <c r="E238" s="511" t="n"/>
      <c r="F238" s="548" t="n"/>
    </row>
    <row r="239">
      <c r="A239" s="547" t="n"/>
      <c r="B239" s="548" t="n"/>
      <c r="C239" s="511" t="n"/>
      <c r="D239" s="511" t="n"/>
      <c r="E239" s="511" t="n"/>
      <c r="F239" s="548" t="n"/>
    </row>
    <row r="240">
      <c r="A240" s="547" t="n"/>
      <c r="B240" s="548" t="n"/>
      <c r="C240" s="511" t="n"/>
      <c r="D240" s="511" t="n"/>
      <c r="E240" s="511" t="n"/>
      <c r="F240" s="548" t="n"/>
    </row>
    <row r="241">
      <c r="A241" s="547" t="n"/>
      <c r="B241" s="548" t="n"/>
      <c r="C241" s="511" t="n"/>
      <c r="D241" s="511" t="n"/>
      <c r="E241" s="511" t="n"/>
      <c r="F241" s="548" t="n"/>
    </row>
    <row r="242">
      <c r="A242" s="547" t="n"/>
      <c r="B242" s="548" t="n"/>
      <c r="C242" s="511" t="n"/>
      <c r="D242" s="511" t="n"/>
      <c r="E242" s="511" t="n"/>
      <c r="F242" s="548" t="n"/>
    </row>
    <row r="243">
      <c r="A243" s="547" t="n"/>
      <c r="B243" s="548" t="n"/>
      <c r="C243" s="511" t="n"/>
      <c r="D243" s="511" t="n"/>
      <c r="E243" s="511" t="n"/>
      <c r="F243" s="548" t="n"/>
    </row>
    <row r="244">
      <c r="A244" s="547" t="n"/>
      <c r="B244" s="548" t="n"/>
      <c r="C244" s="511" t="n"/>
      <c r="D244" s="511" t="n"/>
      <c r="E244" s="511" t="n"/>
      <c r="F244" s="548" t="n"/>
    </row>
    <row r="245">
      <c r="A245" s="547" t="n"/>
      <c r="B245" s="548" t="n"/>
      <c r="C245" s="511" t="n"/>
      <c r="D245" s="511" t="n"/>
      <c r="E245" s="511" t="n"/>
      <c r="F245" s="548" t="n"/>
    </row>
    <row r="246">
      <c r="A246" s="547" t="n"/>
      <c r="B246" s="548" t="n"/>
      <c r="C246" s="511" t="n"/>
      <c r="D246" s="511" t="n"/>
      <c r="E246" s="511" t="n"/>
      <c r="F246" s="548" t="n"/>
    </row>
    <row r="247">
      <c r="A247" s="547" t="n"/>
      <c r="B247" s="548" t="n"/>
      <c r="C247" s="511" t="n"/>
      <c r="D247" s="511" t="n"/>
      <c r="E247" s="511" t="n"/>
      <c r="F247" s="548" t="n"/>
    </row>
    <row r="248">
      <c r="A248" s="547" t="n"/>
      <c r="B248" s="548" t="n"/>
      <c r="C248" s="511" t="n"/>
      <c r="D248" s="511" t="n"/>
      <c r="E248" s="511" t="n"/>
      <c r="F248" s="548" t="n"/>
    </row>
    <row r="249">
      <c r="A249" s="547" t="n"/>
      <c r="B249" s="548" t="n"/>
      <c r="C249" s="511" t="n"/>
      <c r="D249" s="511" t="n"/>
      <c r="E249" s="511" t="n"/>
      <c r="F249" s="548" t="n"/>
    </row>
    <row r="250">
      <c r="A250" s="547" t="n"/>
      <c r="B250" s="548" t="n"/>
      <c r="C250" s="511" t="n"/>
      <c r="D250" s="511" t="n"/>
      <c r="E250" s="511" t="n"/>
      <c r="F250" s="548" t="n"/>
    </row>
    <row r="251">
      <c r="A251" s="547" t="n"/>
      <c r="B251" s="548" t="n"/>
      <c r="C251" s="511" t="n"/>
      <c r="D251" s="511" t="n"/>
      <c r="E251" s="511" t="n"/>
      <c r="F251" s="548" t="n"/>
    </row>
    <row r="252">
      <c r="A252" s="547" t="n"/>
      <c r="B252" s="548" t="n"/>
      <c r="C252" s="511" t="n"/>
      <c r="D252" s="511" t="n"/>
      <c r="E252" s="511" t="n"/>
      <c r="F252" s="548" t="n"/>
    </row>
    <row r="253">
      <c r="A253" s="547" t="n"/>
      <c r="B253" s="548" t="n"/>
      <c r="C253" s="511" t="n"/>
      <c r="D253" s="511" t="n"/>
      <c r="E253" s="511" t="n"/>
      <c r="F253" s="548" t="n"/>
    </row>
    <row r="254">
      <c r="A254" s="547" t="n"/>
      <c r="B254" s="548" t="n"/>
      <c r="C254" s="511" t="n"/>
      <c r="D254" s="511" t="n"/>
      <c r="E254" s="511" t="n"/>
      <c r="F254" s="548" t="n"/>
    </row>
    <row r="255">
      <c r="A255" s="547" t="n"/>
      <c r="B255" s="548" t="n"/>
      <c r="C255" s="511" t="n"/>
      <c r="D255" s="511" t="n"/>
      <c r="E255" s="511" t="n"/>
      <c r="F255" s="548" t="n"/>
    </row>
    <row r="256">
      <c r="A256" s="547" t="n"/>
      <c r="B256" s="548" t="n"/>
      <c r="C256" s="511" t="n"/>
      <c r="D256" s="511" t="n"/>
      <c r="E256" s="511" t="n"/>
      <c r="F256" s="548" t="n"/>
    </row>
    <row r="257">
      <c r="A257" s="547" t="n"/>
      <c r="B257" s="548" t="n"/>
      <c r="C257" s="511" t="n"/>
      <c r="D257" s="511" t="n"/>
      <c r="E257" s="511" t="n"/>
      <c r="F257" s="548" t="n"/>
    </row>
    <row r="258">
      <c r="A258" s="547" t="n"/>
      <c r="B258" s="548" t="n"/>
      <c r="C258" s="511" t="n"/>
      <c r="D258" s="511" t="n"/>
      <c r="E258" s="511" t="n"/>
      <c r="F258" s="548" t="n"/>
    </row>
    <row r="259">
      <c r="A259" s="547" t="n"/>
      <c r="B259" s="548" t="n"/>
      <c r="C259" s="511" t="n"/>
      <c r="D259" s="511" t="n"/>
      <c r="E259" s="511" t="n"/>
      <c r="F259" s="548" t="n"/>
    </row>
    <row r="260">
      <c r="A260" s="547" t="n"/>
      <c r="B260" s="548" t="n"/>
      <c r="C260" s="511" t="n"/>
      <c r="D260" s="511" t="n"/>
      <c r="E260" s="511" t="n"/>
      <c r="F260" s="548" t="n"/>
    </row>
    <row r="261">
      <c r="A261" s="547" t="n"/>
      <c r="B261" s="548" t="n"/>
      <c r="C261" s="511" t="n"/>
      <c r="D261" s="511" t="n"/>
      <c r="E261" s="511" t="n"/>
      <c r="F261" s="548" t="n"/>
    </row>
    <row r="262">
      <c r="A262" s="547" t="n"/>
      <c r="B262" s="548" t="n"/>
      <c r="C262" s="511" t="n"/>
      <c r="D262" s="511" t="n"/>
      <c r="E262" s="511" t="n"/>
      <c r="F262" s="548" t="n"/>
    </row>
    <row r="263">
      <c r="A263" s="547" t="n"/>
      <c r="B263" s="548" t="n"/>
      <c r="C263" s="511" t="n"/>
      <c r="D263" s="511" t="n"/>
      <c r="E263" s="511" t="n"/>
      <c r="F263" s="548" t="n"/>
    </row>
    <row r="264">
      <c r="A264" s="547" t="n"/>
      <c r="B264" s="548" t="n"/>
      <c r="C264" s="511" t="n"/>
      <c r="D264" s="511" t="n"/>
      <c r="E264" s="511" t="n"/>
      <c r="F264" s="548" t="n"/>
    </row>
    <row r="265">
      <c r="A265" s="547" t="n"/>
      <c r="B265" s="548" t="n"/>
      <c r="C265" s="511" t="n"/>
      <c r="D265" s="511" t="n"/>
      <c r="E265" s="511" t="n"/>
      <c r="F265" s="548" t="n"/>
    </row>
    <row r="266">
      <c r="A266" s="547" t="n"/>
      <c r="B266" s="548" t="n"/>
      <c r="C266" s="511" t="n"/>
      <c r="D266" s="511" t="n"/>
      <c r="E266" s="511" t="n"/>
      <c r="F266" s="548" t="n"/>
    </row>
    <row r="267">
      <c r="A267" s="547" t="n"/>
      <c r="B267" s="548" t="n"/>
      <c r="C267" s="511" t="n"/>
      <c r="D267" s="511" t="n"/>
      <c r="E267" s="511" t="n"/>
      <c r="F267" s="548" t="n"/>
    </row>
    <row r="268">
      <c r="A268" s="547" t="n"/>
      <c r="B268" s="548" t="n"/>
      <c r="C268" s="511" t="n"/>
      <c r="D268" s="511" t="n"/>
      <c r="E268" s="511" t="n"/>
      <c r="F268" s="548" t="n"/>
    </row>
    <row r="269">
      <c r="A269" s="547" t="n"/>
      <c r="B269" s="548" t="n"/>
      <c r="C269" s="511" t="n"/>
      <c r="D269" s="511" t="n"/>
      <c r="E269" s="511" t="n"/>
      <c r="F269" s="548" t="n"/>
    </row>
    <row r="270">
      <c r="A270" s="547" t="n"/>
      <c r="B270" s="548" t="n"/>
      <c r="C270" s="511" t="n"/>
      <c r="D270" s="511" t="n"/>
      <c r="E270" s="511" t="n"/>
      <c r="F270" s="548" t="n"/>
    </row>
    <row r="271">
      <c r="A271" s="547" t="n"/>
      <c r="B271" s="548" t="n"/>
      <c r="C271" s="511" t="n"/>
      <c r="D271" s="511" t="n"/>
      <c r="E271" s="511" t="n"/>
      <c r="F271" s="548" t="n"/>
    </row>
    <row r="272">
      <c r="A272" s="547" t="n"/>
      <c r="B272" s="548" t="n"/>
      <c r="C272" s="511" t="n"/>
      <c r="D272" s="511" t="n"/>
      <c r="E272" s="511" t="n"/>
      <c r="F272" s="548" t="n"/>
    </row>
    <row r="273">
      <c r="A273" s="547" t="n"/>
      <c r="B273" s="548" t="n"/>
      <c r="C273" s="511" t="n"/>
      <c r="D273" s="511" t="n"/>
      <c r="E273" s="511" t="n"/>
      <c r="F273" s="548" t="n"/>
    </row>
    <row r="274">
      <c r="A274" s="547" t="n"/>
      <c r="B274" s="548" t="n"/>
      <c r="C274" s="511" t="n"/>
      <c r="D274" s="511" t="n"/>
      <c r="E274" s="511" t="n"/>
      <c r="F274" s="548" t="n"/>
    </row>
    <row r="275">
      <c r="A275" s="547" t="n"/>
      <c r="B275" s="548" t="n"/>
      <c r="C275" s="511" t="n"/>
      <c r="D275" s="511" t="n"/>
      <c r="E275" s="511" t="n"/>
      <c r="F275" s="548" t="n"/>
    </row>
    <row r="276">
      <c r="A276" s="547" t="n"/>
      <c r="B276" s="548" t="n"/>
      <c r="C276" s="511" t="n"/>
      <c r="D276" s="511" t="n"/>
      <c r="E276" s="511" t="n"/>
      <c r="F276" s="548" t="n"/>
    </row>
    <row r="277">
      <c r="A277" s="547" t="n"/>
      <c r="B277" s="548" t="n"/>
      <c r="C277" s="511" t="n"/>
      <c r="D277" s="511" t="n"/>
      <c r="E277" s="511" t="n"/>
      <c r="F277" s="548" t="n"/>
    </row>
    <row r="278">
      <c r="A278" s="547" t="n"/>
      <c r="B278" s="548" t="n"/>
      <c r="C278" s="511" t="n"/>
      <c r="D278" s="511" t="n"/>
      <c r="E278" s="511" t="n"/>
      <c r="F278" s="548" t="n"/>
    </row>
    <row r="279">
      <c r="A279" s="547" t="n"/>
      <c r="B279" s="548" t="n"/>
      <c r="C279" s="511" t="n"/>
      <c r="D279" s="511" t="n"/>
      <c r="E279" s="511" t="n"/>
      <c r="F279" s="548" t="n"/>
    </row>
    <row r="280">
      <c r="A280" s="547" t="n"/>
      <c r="B280" s="548" t="n"/>
      <c r="C280" s="511" t="n"/>
      <c r="D280" s="511" t="n"/>
      <c r="E280" s="511" t="n"/>
      <c r="F280" s="548" t="n"/>
    </row>
    <row r="281">
      <c r="A281" s="547" t="n"/>
      <c r="B281" s="548" t="n"/>
      <c r="C281" s="511" t="n"/>
      <c r="D281" s="511" t="n"/>
      <c r="E281" s="511" t="n"/>
      <c r="F281" s="548" t="n"/>
    </row>
    <row r="282">
      <c r="A282" s="547" t="n"/>
      <c r="B282" s="548" t="n"/>
      <c r="C282" s="511" t="n"/>
      <c r="D282" s="511" t="n"/>
      <c r="E282" s="511" t="n"/>
      <c r="F282" s="548" t="n"/>
    </row>
    <row r="283">
      <c r="A283" s="547" t="n"/>
      <c r="B283" s="548" t="n"/>
      <c r="C283" s="511" t="n"/>
      <c r="D283" s="511" t="n"/>
      <c r="E283" s="511" t="n"/>
      <c r="F283" s="548" t="n"/>
    </row>
    <row r="284">
      <c r="A284" s="547" t="n"/>
      <c r="B284" s="548" t="n"/>
      <c r="C284" s="511" t="n"/>
      <c r="D284" s="511" t="n"/>
      <c r="E284" s="511" t="n"/>
      <c r="F284" s="548" t="n"/>
    </row>
    <row r="285">
      <c r="A285" s="547" t="n"/>
      <c r="B285" s="548" t="n"/>
      <c r="C285" s="511" t="n"/>
      <c r="D285" s="511" t="n"/>
      <c r="E285" s="511" t="n"/>
      <c r="F285" s="548" t="n"/>
    </row>
    <row r="286">
      <c r="A286" s="547" t="n"/>
      <c r="B286" s="548" t="n"/>
      <c r="C286" s="511" t="n"/>
      <c r="D286" s="511" t="n"/>
      <c r="E286" s="511" t="n"/>
      <c r="F286" s="548" t="n"/>
    </row>
    <row r="287">
      <c r="A287" s="547" t="n"/>
      <c r="B287" s="548" t="n"/>
      <c r="C287" s="511" t="n"/>
      <c r="D287" s="511" t="n"/>
      <c r="E287" s="511" t="n"/>
      <c r="F287" s="548" t="n"/>
    </row>
    <row r="288">
      <c r="A288" s="547" t="n"/>
      <c r="B288" s="548" t="n"/>
      <c r="C288" s="511" t="n"/>
      <c r="D288" s="511" t="n"/>
      <c r="E288" s="511" t="n"/>
      <c r="F288" s="548" t="n"/>
    </row>
    <row r="289">
      <c r="A289" s="547" t="n"/>
      <c r="B289" s="548" t="n"/>
      <c r="C289" s="511" t="n"/>
      <c r="D289" s="511" t="n"/>
      <c r="E289" s="511" t="n"/>
      <c r="F289" s="548" t="n"/>
    </row>
    <row r="290">
      <c r="A290" s="547" t="n"/>
      <c r="B290" s="548" t="n"/>
      <c r="C290" s="511" t="n"/>
      <c r="D290" s="511" t="n"/>
      <c r="E290" s="511" t="n"/>
      <c r="F290" s="548" t="n"/>
    </row>
    <row r="291">
      <c r="A291" s="547" t="n"/>
      <c r="B291" s="548" t="n"/>
      <c r="C291" s="511" t="n"/>
      <c r="D291" s="511" t="n"/>
      <c r="E291" s="511" t="n"/>
      <c r="F291" s="548" t="n"/>
    </row>
    <row r="292">
      <c r="A292" s="547" t="n"/>
      <c r="B292" s="548" t="n"/>
      <c r="C292" s="511" t="n"/>
      <c r="D292" s="511" t="n"/>
      <c r="E292" s="511" t="n"/>
      <c r="F292" s="548" t="n"/>
    </row>
    <row r="293">
      <c r="A293" s="547" t="n"/>
      <c r="B293" s="548" t="n"/>
      <c r="C293" s="511" t="n"/>
      <c r="D293" s="511" t="n"/>
      <c r="E293" s="511" t="n"/>
      <c r="F293" s="548" t="n"/>
    </row>
    <row r="294">
      <c r="A294" s="547" t="n"/>
      <c r="B294" s="548" t="n"/>
      <c r="C294" s="511" t="n"/>
      <c r="D294" s="511" t="n"/>
      <c r="E294" s="511" t="n"/>
      <c r="F294" s="548" t="n"/>
    </row>
    <row r="295">
      <c r="A295" s="547" t="n"/>
      <c r="B295" s="548" t="n"/>
      <c r="C295" s="511" t="n"/>
      <c r="D295" s="511" t="n"/>
      <c r="E295" s="511" t="n"/>
      <c r="F295" s="548" t="n"/>
    </row>
    <row r="296">
      <c r="A296" s="547" t="n"/>
      <c r="B296" s="548" t="n"/>
      <c r="C296" s="511" t="n"/>
      <c r="D296" s="511" t="n"/>
      <c r="E296" s="511" t="n"/>
      <c r="F296" s="548" t="n"/>
    </row>
    <row r="297">
      <c r="A297" s="547" t="n"/>
      <c r="B297" s="548" t="n"/>
      <c r="C297" s="511" t="n"/>
      <c r="D297" s="511" t="n"/>
      <c r="E297" s="511" t="n"/>
      <c r="F297" s="548" t="n"/>
    </row>
    <row r="298">
      <c r="A298" s="547" t="n"/>
      <c r="B298" s="548" t="n"/>
      <c r="C298" s="511" t="n"/>
      <c r="D298" s="511" t="n"/>
      <c r="E298" s="511" t="n"/>
      <c r="F298" s="548" t="n"/>
    </row>
    <row r="299">
      <c r="A299" s="547" t="n"/>
      <c r="B299" s="548" t="n"/>
      <c r="C299" s="511" t="n"/>
      <c r="D299" s="511" t="n"/>
      <c r="E299" s="511" t="n"/>
      <c r="F299" s="548" t="n"/>
    </row>
    <row r="300">
      <c r="A300" s="547" t="n"/>
      <c r="B300" s="548" t="n"/>
      <c r="C300" s="511" t="n"/>
      <c r="D300" s="511" t="n"/>
      <c r="E300" s="511" t="n"/>
      <c r="F300" s="548" t="n"/>
    </row>
    <row r="301">
      <c r="A301" s="547" t="n"/>
      <c r="B301" s="548" t="n"/>
      <c r="C301" s="511" t="n"/>
      <c r="D301" s="511" t="n"/>
      <c r="E301" s="511" t="n"/>
      <c r="F301" s="548" t="n"/>
    </row>
    <row r="302">
      <c r="A302" s="547" t="n"/>
      <c r="B302" s="548" t="n"/>
      <c r="C302" s="511" t="n"/>
      <c r="D302" s="511" t="n"/>
      <c r="E302" s="511" t="n"/>
      <c r="F302" s="548" t="n"/>
    </row>
    <row r="303">
      <c r="A303" s="547" t="n"/>
      <c r="B303" s="548" t="n"/>
      <c r="C303" s="511" t="n"/>
      <c r="D303" s="511" t="n"/>
      <c r="E303" s="511" t="n"/>
      <c r="F303" s="548" t="n"/>
    </row>
    <row r="304">
      <c r="A304" s="547" t="n"/>
      <c r="B304" s="548" t="n"/>
      <c r="C304" s="511" t="n"/>
      <c r="D304" s="511" t="n"/>
      <c r="E304" s="511" t="n"/>
      <c r="F304" s="548" t="n"/>
    </row>
    <row r="305">
      <c r="A305" s="547" t="n"/>
      <c r="B305" s="548" t="n"/>
      <c r="C305" s="511" t="n"/>
      <c r="D305" s="511" t="n"/>
      <c r="E305" s="511" t="n"/>
      <c r="F305" s="548" t="n"/>
    </row>
    <row r="306">
      <c r="A306" s="547" t="n"/>
      <c r="B306" s="548" t="n"/>
      <c r="C306" s="511" t="n"/>
      <c r="D306" s="511" t="n"/>
      <c r="E306" s="511" t="n"/>
      <c r="F306" s="548" t="n"/>
    </row>
    <row r="307">
      <c r="A307" s="547" t="n"/>
      <c r="B307" s="548" t="n"/>
      <c r="C307" s="511" t="n"/>
      <c r="D307" s="511" t="n"/>
      <c r="E307" s="511" t="n"/>
      <c r="F307" s="548" t="n"/>
    </row>
    <row r="308">
      <c r="A308" s="547" t="n"/>
      <c r="B308" s="548" t="n"/>
      <c r="C308" s="511" t="n"/>
      <c r="D308" s="511" t="n"/>
      <c r="E308" s="511" t="n"/>
      <c r="F308" s="548" t="n"/>
    </row>
    <row r="309">
      <c r="A309" s="547" t="n"/>
      <c r="B309" s="548" t="n"/>
      <c r="C309" s="511" t="n"/>
      <c r="D309" s="511" t="n"/>
      <c r="E309" s="511" t="n"/>
      <c r="F309" s="548" t="n"/>
    </row>
    <row r="310">
      <c r="A310" s="547" t="n"/>
      <c r="B310" s="548" t="n"/>
      <c r="C310" s="511" t="n"/>
      <c r="D310" s="511" t="n"/>
      <c r="E310" s="511" t="n"/>
      <c r="F310" s="548" t="n"/>
    </row>
    <row r="311">
      <c r="A311" s="547" t="n"/>
      <c r="B311" s="548" t="n"/>
      <c r="C311" s="511" t="n"/>
      <c r="D311" s="511" t="n"/>
      <c r="E311" s="511" t="n"/>
      <c r="F311" s="548" t="n"/>
    </row>
    <row r="312">
      <c r="A312" s="547" t="n"/>
      <c r="B312" s="548" t="n"/>
      <c r="C312" s="511" t="n"/>
      <c r="D312" s="511" t="n"/>
      <c r="E312" s="511" t="n"/>
      <c r="F312" s="548" t="n"/>
    </row>
    <row r="313">
      <c r="A313" s="547" t="n"/>
      <c r="B313" s="548" t="n"/>
      <c r="C313" s="511" t="n"/>
      <c r="D313" s="511" t="n"/>
      <c r="E313" s="511" t="n"/>
      <c r="F313" s="548" t="n"/>
    </row>
    <row r="314">
      <c r="A314" s="547" t="n"/>
      <c r="B314" s="548" t="n"/>
      <c r="C314" s="511" t="n"/>
      <c r="D314" s="511" t="n"/>
      <c r="E314" s="511" t="n"/>
      <c r="F314" s="548" t="n"/>
    </row>
    <row r="315">
      <c r="A315" s="547" t="n"/>
      <c r="B315" s="548" t="n"/>
      <c r="C315" s="511" t="n"/>
      <c r="D315" s="511" t="n"/>
      <c r="E315" s="511" t="n"/>
      <c r="F315" s="548" t="n"/>
    </row>
    <row r="316">
      <c r="A316" s="547" t="n"/>
      <c r="B316" s="548" t="n"/>
      <c r="C316" s="511" t="n"/>
      <c r="D316" s="511" t="n"/>
      <c r="E316" s="511" t="n"/>
      <c r="F316" s="548" t="n"/>
    </row>
    <row r="317">
      <c r="A317" s="547" t="n"/>
      <c r="B317" s="548" t="n"/>
      <c r="C317" s="511" t="n"/>
      <c r="D317" s="511" t="n"/>
      <c r="E317" s="511" t="n"/>
      <c r="F317" s="548" t="n"/>
    </row>
    <row r="318">
      <c r="A318" s="547" t="n"/>
      <c r="B318" s="548" t="n"/>
      <c r="C318" s="511" t="n"/>
      <c r="D318" s="511" t="n"/>
      <c r="E318" s="511" t="n"/>
      <c r="F318" s="548" t="n"/>
    </row>
    <row r="319">
      <c r="A319" s="547" t="n"/>
      <c r="B319" s="548" t="n"/>
      <c r="C319" s="511" t="n"/>
      <c r="D319" s="511" t="n"/>
      <c r="E319" s="511" t="n"/>
      <c r="F319" s="548" t="n"/>
    </row>
    <row r="320">
      <c r="A320" s="547" t="n"/>
      <c r="B320" s="548" t="n"/>
      <c r="C320" s="511" t="n"/>
      <c r="D320" s="511" t="n"/>
      <c r="E320" s="511" t="n"/>
      <c r="F320" s="548" t="n"/>
    </row>
    <row r="321">
      <c r="A321" s="547" t="n"/>
      <c r="B321" s="548" t="n"/>
      <c r="C321" s="511" t="n"/>
      <c r="D321" s="511" t="n"/>
      <c r="E321" s="511" t="n"/>
      <c r="F321" s="548" t="n"/>
    </row>
    <row r="322">
      <c r="A322" s="547" t="n"/>
      <c r="B322" s="548" t="n"/>
      <c r="C322" s="511" t="n"/>
      <c r="D322" s="511" t="n"/>
      <c r="E322" s="511" t="n"/>
      <c r="F322" s="548" t="n"/>
    </row>
    <row r="323">
      <c r="A323" s="547" t="n"/>
      <c r="B323" s="548" t="n"/>
      <c r="C323" s="511" t="n"/>
      <c r="D323" s="511" t="n"/>
      <c r="E323" s="511" t="n"/>
      <c r="F323" s="548" t="n"/>
    </row>
    <row r="324">
      <c r="A324" s="547" t="n"/>
      <c r="B324" s="548" t="n"/>
      <c r="C324" s="511" t="n"/>
      <c r="D324" s="511" t="n"/>
      <c r="E324" s="511" t="n"/>
      <c r="F324" s="548" t="n"/>
    </row>
    <row r="325">
      <c r="A325" s="547" t="n"/>
      <c r="B325" s="548" t="n"/>
      <c r="C325" s="511" t="n"/>
      <c r="D325" s="511" t="n"/>
      <c r="E325" s="511" t="n"/>
      <c r="F325" s="548" t="n"/>
    </row>
    <row r="326">
      <c r="A326" s="547" t="n"/>
      <c r="B326" s="548" t="n"/>
      <c r="C326" s="511" t="n"/>
      <c r="D326" s="511" t="n"/>
      <c r="E326" s="511" t="n"/>
      <c r="F326" s="548" t="n"/>
    </row>
    <row r="327">
      <c r="A327" s="547" t="n"/>
      <c r="B327" s="548" t="n"/>
      <c r="C327" s="511" t="n"/>
      <c r="D327" s="511" t="n"/>
      <c r="E327" s="511" t="n"/>
      <c r="F327" s="548" t="n"/>
    </row>
    <row r="328">
      <c r="A328" s="547" t="n"/>
      <c r="B328" s="548" t="n"/>
      <c r="C328" s="511" t="n"/>
      <c r="D328" s="511" t="n"/>
      <c r="E328" s="511" t="n"/>
      <c r="F328" s="548" t="n"/>
    </row>
    <row r="329">
      <c r="A329" s="547" t="n"/>
      <c r="B329" s="548" t="n"/>
      <c r="C329" s="511" t="n"/>
      <c r="D329" s="511" t="n"/>
      <c r="E329" s="511" t="n"/>
      <c r="F329" s="548" t="n"/>
    </row>
    <row r="330">
      <c r="A330" s="547" t="n"/>
      <c r="B330" s="548" t="n"/>
      <c r="C330" s="511" t="n"/>
      <c r="D330" s="511" t="n"/>
      <c r="E330" s="511" t="n"/>
      <c r="F330" s="548" t="n"/>
    </row>
    <row r="331">
      <c r="A331" s="547" t="n"/>
      <c r="B331" s="548" t="n"/>
      <c r="C331" s="511" t="n"/>
      <c r="D331" s="511" t="n"/>
      <c r="E331" s="511" t="n"/>
      <c r="F331" s="548" t="n"/>
    </row>
    <row r="332">
      <c r="A332" s="547" t="n"/>
      <c r="B332" s="548" t="n"/>
      <c r="C332" s="511" t="n"/>
      <c r="D332" s="511" t="n"/>
      <c r="E332" s="511" t="n"/>
      <c r="F332" s="548" t="n"/>
    </row>
    <row r="333">
      <c r="A333" s="547" t="n"/>
      <c r="B333" s="548" t="n"/>
      <c r="C333" s="511" t="n"/>
      <c r="D333" s="511" t="n"/>
      <c r="E333" s="511" t="n"/>
      <c r="F333" s="548" t="n"/>
    </row>
    <row r="334">
      <c r="A334" s="547" t="n"/>
      <c r="B334" s="548" t="n"/>
      <c r="C334" s="511" t="n"/>
      <c r="D334" s="511" t="n"/>
      <c r="E334" s="511" t="n"/>
      <c r="F334" s="548" t="n"/>
    </row>
    <row r="335">
      <c r="A335" s="547" t="n"/>
      <c r="B335" s="548" t="n"/>
      <c r="C335" s="511" t="n"/>
      <c r="D335" s="511" t="n"/>
      <c r="E335" s="511" t="n"/>
      <c r="F335" s="548" t="n"/>
    </row>
    <row r="336">
      <c r="A336" s="547" t="n"/>
      <c r="B336" s="548" t="n"/>
      <c r="C336" s="511" t="n"/>
      <c r="D336" s="511" t="n"/>
      <c r="E336" s="511" t="n"/>
      <c r="F336" s="548" t="n"/>
    </row>
    <row r="337">
      <c r="A337" s="547" t="n"/>
      <c r="B337" s="548" t="n"/>
      <c r="C337" s="511" t="n"/>
      <c r="D337" s="511" t="n"/>
      <c r="E337" s="511" t="n"/>
      <c r="F337" s="548" t="n"/>
    </row>
    <row r="338">
      <c r="A338" s="547" t="n"/>
      <c r="B338" s="548" t="n"/>
      <c r="C338" s="511" t="n"/>
      <c r="D338" s="511" t="n"/>
      <c r="E338" s="511" t="n"/>
      <c r="F338" s="548" t="n"/>
    </row>
    <row r="339">
      <c r="A339" s="547" t="n"/>
      <c r="B339" s="548" t="n"/>
      <c r="C339" s="511" t="n"/>
      <c r="D339" s="511" t="n"/>
      <c r="E339" s="511" t="n"/>
      <c r="F339" s="548" t="n"/>
    </row>
    <row r="340">
      <c r="A340" s="547" t="n"/>
      <c r="B340" s="548" t="n"/>
      <c r="C340" s="511" t="n"/>
      <c r="D340" s="511" t="n"/>
      <c r="E340" s="511" t="n"/>
      <c r="F340" s="548" t="n"/>
    </row>
    <row r="341">
      <c r="A341" s="547" t="n"/>
      <c r="B341" s="548" t="n"/>
      <c r="C341" s="511" t="n"/>
      <c r="D341" s="511" t="n"/>
      <c r="E341" s="511" t="n"/>
      <c r="F341" s="548" t="n"/>
    </row>
    <row r="342">
      <c r="A342" s="547" t="n"/>
      <c r="B342" s="548" t="n"/>
      <c r="C342" s="511" t="n"/>
      <c r="D342" s="511" t="n"/>
      <c r="E342" s="511" t="n"/>
      <c r="F342" s="548" t="n"/>
    </row>
    <row r="343">
      <c r="A343" s="547" t="n"/>
      <c r="B343" s="548" t="n"/>
      <c r="C343" s="511" t="n"/>
      <c r="D343" s="511" t="n"/>
      <c r="E343" s="511" t="n"/>
      <c r="F343" s="548" t="n"/>
    </row>
    <row r="344">
      <c r="A344" s="547" t="n"/>
      <c r="B344" s="548" t="n"/>
      <c r="C344" s="511" t="n"/>
      <c r="D344" s="511" t="n"/>
      <c r="E344" s="511" t="n"/>
      <c r="F344" s="548" t="n"/>
    </row>
    <row r="345">
      <c r="A345" s="547" t="n"/>
      <c r="B345" s="548" t="n"/>
      <c r="C345" s="511" t="n"/>
      <c r="D345" s="511" t="n"/>
      <c r="E345" s="511" t="n"/>
      <c r="F345" s="548" t="n"/>
    </row>
    <row r="346">
      <c r="A346" s="547" t="n"/>
      <c r="B346" s="548" t="n"/>
      <c r="C346" s="511" t="n"/>
      <c r="D346" s="511" t="n"/>
      <c r="E346" s="511" t="n"/>
      <c r="F346" s="548" t="n"/>
    </row>
    <row r="347">
      <c r="A347" s="547" t="n"/>
      <c r="B347" s="548" t="n"/>
      <c r="C347" s="511" t="n"/>
      <c r="D347" s="511" t="n"/>
      <c r="E347" s="511" t="n"/>
      <c r="F347" s="548" t="n"/>
    </row>
    <row r="348">
      <c r="A348" s="547" t="n"/>
      <c r="B348" s="548" t="n"/>
      <c r="C348" s="511" t="n"/>
      <c r="D348" s="511" t="n"/>
      <c r="E348" s="511" t="n"/>
      <c r="F348" s="548" t="n"/>
    </row>
    <row r="349">
      <c r="A349" s="547" t="n"/>
      <c r="B349" s="548" t="n"/>
      <c r="C349" s="511" t="n"/>
      <c r="D349" s="511" t="n"/>
      <c r="E349" s="511" t="n"/>
      <c r="F349" s="548" t="n"/>
    </row>
    <row r="350">
      <c r="A350" s="547" t="n"/>
      <c r="B350" s="548" t="n"/>
      <c r="C350" s="511" t="n"/>
      <c r="D350" s="511" t="n"/>
      <c r="E350" s="511" t="n"/>
      <c r="F350" s="548" t="n"/>
    </row>
    <row r="351">
      <c r="A351" s="547" t="n"/>
      <c r="B351" s="548" t="n"/>
      <c r="C351" s="511" t="n"/>
      <c r="D351" s="511" t="n"/>
      <c r="E351" s="511" t="n"/>
      <c r="F351" s="548" t="n"/>
    </row>
    <row r="352">
      <c r="A352" s="547" t="n"/>
      <c r="B352" s="548" t="n"/>
      <c r="C352" s="511" t="n"/>
      <c r="D352" s="511" t="n"/>
      <c r="E352" s="511" t="n"/>
      <c r="F352" s="548" t="n"/>
    </row>
    <row r="353">
      <c r="A353" s="547" t="n"/>
      <c r="B353" s="548" t="n"/>
      <c r="C353" s="511" t="n"/>
      <c r="D353" s="511" t="n"/>
      <c r="E353" s="511" t="n"/>
      <c r="F353" s="548" t="n"/>
    </row>
    <row r="354">
      <c r="A354" s="547" t="n"/>
      <c r="B354" s="548" t="n"/>
      <c r="C354" s="511" t="n"/>
      <c r="D354" s="511" t="n"/>
      <c r="E354" s="511" t="n"/>
      <c r="F354" s="548" t="n"/>
    </row>
    <row r="355">
      <c r="A355" s="547" t="n"/>
      <c r="B355" s="548" t="n"/>
      <c r="C355" s="511" t="n"/>
      <c r="D355" s="511" t="n"/>
      <c r="E355" s="511" t="n"/>
      <c r="F355" s="548" t="n"/>
    </row>
    <row r="356">
      <c r="A356" s="547" t="n"/>
      <c r="B356" s="548" t="n"/>
      <c r="C356" s="511" t="n"/>
      <c r="D356" s="511" t="n"/>
      <c r="E356" s="511" t="n"/>
      <c r="F356" s="548" t="n"/>
    </row>
    <row r="357">
      <c r="A357" s="547" t="n"/>
      <c r="B357" s="548" t="n"/>
      <c r="C357" s="511" t="n"/>
      <c r="D357" s="511" t="n"/>
      <c r="E357" s="511" t="n"/>
      <c r="F357" s="548" t="n"/>
    </row>
    <row r="358">
      <c r="A358" s="547" t="n"/>
      <c r="B358" s="548" t="n"/>
      <c r="C358" s="511" t="n"/>
      <c r="D358" s="511" t="n"/>
      <c r="E358" s="511" t="n"/>
      <c r="F358" s="548" t="n"/>
    </row>
    <row r="359">
      <c r="A359" s="547" t="n"/>
      <c r="B359" s="548" t="n"/>
      <c r="C359" s="511" t="n"/>
      <c r="D359" s="511" t="n"/>
      <c r="E359" s="511" t="n"/>
      <c r="F359" s="548" t="n"/>
    </row>
    <row r="360">
      <c r="A360" s="547" t="n"/>
      <c r="B360" s="548" t="n"/>
      <c r="C360" s="511" t="n"/>
      <c r="D360" s="511" t="n"/>
      <c r="E360" s="511" t="n"/>
      <c r="F360" s="548" t="n"/>
    </row>
    <row r="361">
      <c r="A361" s="547" t="n"/>
      <c r="B361" s="548" t="n"/>
      <c r="C361" s="511" t="n"/>
      <c r="D361" s="511" t="n"/>
      <c r="E361" s="511" t="n"/>
      <c r="F361" s="548" t="n"/>
    </row>
    <row r="362">
      <c r="A362" s="547" t="n"/>
      <c r="B362" s="548" t="n"/>
      <c r="C362" s="511" t="n"/>
      <c r="D362" s="511" t="n"/>
      <c r="E362" s="511" t="n"/>
      <c r="F362" s="548" t="n"/>
    </row>
    <row r="363">
      <c r="A363" s="547" t="n"/>
      <c r="B363" s="548" t="n"/>
      <c r="C363" s="511" t="n"/>
      <c r="D363" s="511" t="n"/>
      <c r="E363" s="511" t="n"/>
      <c r="F363" s="548" t="n"/>
    </row>
    <row r="364">
      <c r="A364" s="547" t="n"/>
      <c r="B364" s="548" t="n"/>
      <c r="C364" s="511" t="n"/>
      <c r="D364" s="511" t="n"/>
      <c r="E364" s="511" t="n"/>
      <c r="F364" s="548" t="n"/>
    </row>
    <row r="365">
      <c r="A365" s="547" t="n"/>
      <c r="B365" s="548" t="n"/>
      <c r="C365" s="511" t="n"/>
      <c r="D365" s="511" t="n"/>
      <c r="E365" s="511" t="n"/>
      <c r="F365" s="548" t="n"/>
    </row>
    <row r="366">
      <c r="A366" s="547" t="n"/>
      <c r="B366" s="548" t="n"/>
      <c r="C366" s="511" t="n"/>
      <c r="D366" s="511" t="n"/>
      <c r="E366" s="511" t="n"/>
      <c r="F366" s="548" t="n"/>
    </row>
    <row r="367">
      <c r="A367" s="547" t="n"/>
      <c r="B367" s="548" t="n"/>
      <c r="C367" s="511" t="n"/>
      <c r="D367" s="511" t="n"/>
      <c r="E367" s="511" t="n"/>
      <c r="F367" s="548" t="n"/>
    </row>
    <row r="368">
      <c r="A368" s="547" t="n"/>
      <c r="B368" s="548" t="n"/>
      <c r="C368" s="511" t="n"/>
      <c r="D368" s="511" t="n"/>
      <c r="E368" s="511" t="n"/>
      <c r="F368" s="548" t="n"/>
    </row>
    <row r="369">
      <c r="A369" s="547" t="n"/>
      <c r="B369" s="548" t="n"/>
      <c r="C369" s="511" t="n"/>
      <c r="D369" s="511" t="n"/>
      <c r="E369" s="511" t="n"/>
      <c r="F369" s="548" t="n"/>
    </row>
    <row r="370">
      <c r="A370" s="547" t="n"/>
      <c r="B370" s="548" t="n"/>
      <c r="C370" s="511" t="n"/>
      <c r="D370" s="511" t="n"/>
      <c r="E370" s="511" t="n"/>
      <c r="F370" s="548" t="n"/>
    </row>
    <row r="371">
      <c r="A371" s="547" t="n"/>
      <c r="B371" s="548" t="n"/>
      <c r="C371" s="511" t="n"/>
      <c r="D371" s="511" t="n"/>
      <c r="E371" s="511" t="n"/>
      <c r="F371" s="548" t="n"/>
    </row>
    <row r="372">
      <c r="A372" s="547" t="n"/>
      <c r="B372" s="548" t="n"/>
      <c r="C372" s="511" t="n"/>
      <c r="D372" s="511" t="n"/>
      <c r="E372" s="511" t="n"/>
      <c r="F372" s="548" t="n"/>
    </row>
    <row r="373">
      <c r="A373" s="547" t="n"/>
      <c r="B373" s="548" t="n"/>
      <c r="C373" s="511" t="n"/>
      <c r="D373" s="511" t="n"/>
      <c r="E373" s="511" t="n"/>
      <c r="F373" s="548" t="n"/>
    </row>
    <row r="374">
      <c r="A374" s="547" t="n"/>
      <c r="B374" s="548" t="n"/>
      <c r="C374" s="511" t="n"/>
      <c r="D374" s="511" t="n"/>
      <c r="E374" s="511" t="n"/>
      <c r="F374" s="548" t="n"/>
    </row>
    <row r="375">
      <c r="A375" s="547" t="n"/>
      <c r="B375" s="548" t="n"/>
      <c r="C375" s="511" t="n"/>
      <c r="D375" s="511" t="n"/>
      <c r="E375" s="511" t="n"/>
      <c r="F375" s="548" t="n"/>
    </row>
    <row r="376">
      <c r="A376" s="547" t="n"/>
      <c r="B376" s="548" t="n"/>
      <c r="C376" s="511" t="n"/>
      <c r="D376" s="511" t="n"/>
      <c r="E376" s="511" t="n"/>
      <c r="F376" s="548" t="n"/>
    </row>
    <row r="377">
      <c r="A377" s="547" t="n"/>
      <c r="B377" s="548" t="n"/>
      <c r="C377" s="511" t="n"/>
      <c r="D377" s="511" t="n"/>
      <c r="E377" s="511" t="n"/>
      <c r="F377" s="548" t="n"/>
    </row>
    <row r="378">
      <c r="A378" s="547" t="n"/>
      <c r="B378" s="548" t="n"/>
      <c r="C378" s="511" t="n"/>
      <c r="D378" s="511" t="n"/>
      <c r="E378" s="511" t="n"/>
      <c r="F378" s="548" t="n"/>
    </row>
    <row r="379">
      <c r="A379" s="547" t="n"/>
      <c r="B379" s="548" t="n"/>
      <c r="C379" s="511" t="n"/>
      <c r="D379" s="511" t="n"/>
      <c r="E379" s="511" t="n"/>
      <c r="F379" s="548" t="n"/>
    </row>
    <row r="380">
      <c r="A380" s="547" t="n"/>
      <c r="B380" s="548" t="n"/>
      <c r="C380" s="511" t="n"/>
      <c r="D380" s="511" t="n"/>
      <c r="E380" s="511" t="n"/>
      <c r="F380" s="548" t="n"/>
    </row>
    <row r="381">
      <c r="A381" s="547" t="n"/>
      <c r="B381" s="548" t="n"/>
      <c r="C381" s="511" t="n"/>
      <c r="D381" s="511" t="n"/>
      <c r="E381" s="511" t="n"/>
      <c r="F381" s="548" t="n"/>
    </row>
    <row r="382">
      <c r="A382" s="547" t="n"/>
      <c r="B382" s="548" t="n"/>
      <c r="C382" s="511" t="n"/>
      <c r="D382" s="511" t="n"/>
      <c r="E382" s="511" t="n"/>
      <c r="F382" s="548" t="n"/>
    </row>
    <row r="383">
      <c r="A383" s="547" t="n"/>
      <c r="B383" s="548" t="n"/>
      <c r="C383" s="511" t="n"/>
      <c r="D383" s="511" t="n"/>
      <c r="E383" s="511" t="n"/>
      <c r="F383" s="548" t="n"/>
    </row>
    <row r="384">
      <c r="A384" s="547" t="n"/>
      <c r="B384" s="548" t="n"/>
      <c r="C384" s="511" t="n"/>
      <c r="D384" s="511" t="n"/>
      <c r="E384" s="511" t="n"/>
      <c r="F384" s="548" t="n"/>
    </row>
    <row r="385">
      <c r="A385" s="547" t="n"/>
      <c r="B385" s="548" t="n"/>
      <c r="C385" s="511" t="n"/>
      <c r="D385" s="511" t="n"/>
      <c r="E385" s="511" t="n"/>
      <c r="F385" s="548" t="n"/>
    </row>
    <row r="386">
      <c r="A386" s="547" t="n"/>
      <c r="B386" s="548" t="n"/>
      <c r="C386" s="511" t="n"/>
      <c r="D386" s="511" t="n"/>
      <c r="E386" s="511" t="n"/>
      <c r="F386" s="548" t="n"/>
    </row>
    <row r="387">
      <c r="A387" s="547" t="n"/>
      <c r="B387" s="548" t="n"/>
      <c r="C387" s="511" t="n"/>
      <c r="D387" s="511" t="n"/>
      <c r="E387" s="511" t="n"/>
      <c r="F387" s="548" t="n"/>
    </row>
    <row r="388">
      <c r="A388" s="547" t="n"/>
      <c r="B388" s="548" t="n"/>
      <c r="C388" s="511" t="n"/>
      <c r="D388" s="511" t="n"/>
      <c r="E388" s="511" t="n"/>
      <c r="F388" s="548" t="n"/>
    </row>
    <row r="389">
      <c r="A389" s="547" t="n"/>
      <c r="B389" s="548" t="n"/>
      <c r="C389" s="511" t="n"/>
      <c r="D389" s="511" t="n"/>
      <c r="E389" s="511" t="n"/>
      <c r="F389" s="548" t="n"/>
    </row>
    <row r="390">
      <c r="A390" s="547" t="n"/>
      <c r="B390" s="548" t="n"/>
      <c r="C390" s="511" t="n"/>
      <c r="D390" s="511" t="n"/>
      <c r="E390" s="511" t="n"/>
      <c r="F390" s="548" t="n"/>
    </row>
    <row r="391">
      <c r="A391" s="547" t="n"/>
      <c r="B391" s="548" t="n"/>
      <c r="C391" s="511" t="n"/>
      <c r="D391" s="511" t="n"/>
      <c r="E391" s="511" t="n"/>
      <c r="F391" s="548" t="n"/>
    </row>
    <row r="392">
      <c r="A392" s="547" t="n"/>
      <c r="B392" s="548" t="n"/>
      <c r="C392" s="511" t="n"/>
      <c r="D392" s="511" t="n"/>
      <c r="E392" s="511" t="n"/>
      <c r="F392" s="548" t="n"/>
    </row>
    <row r="393">
      <c r="A393" s="547" t="n"/>
      <c r="B393" s="548" t="n"/>
      <c r="C393" s="511" t="n"/>
      <c r="D393" s="511" t="n"/>
      <c r="E393" s="511" t="n"/>
      <c r="F393" s="548" t="n"/>
    </row>
    <row r="394">
      <c r="A394" s="547" t="n"/>
      <c r="B394" s="548" t="n"/>
      <c r="C394" s="511" t="n"/>
      <c r="D394" s="511" t="n"/>
      <c r="E394" s="511" t="n"/>
      <c r="F394" s="548" t="n"/>
    </row>
    <row r="395">
      <c r="A395" s="547" t="n"/>
      <c r="B395" s="548" t="n"/>
      <c r="C395" s="511" t="n"/>
      <c r="D395" s="511" t="n"/>
      <c r="E395" s="511" t="n"/>
      <c r="F395" s="548" t="n"/>
    </row>
    <row r="396">
      <c r="A396" s="547" t="n"/>
      <c r="B396" s="548" t="n"/>
      <c r="C396" s="511" t="n"/>
      <c r="D396" s="511" t="n"/>
      <c r="E396" s="511" t="n"/>
      <c r="F396" s="548" t="n"/>
    </row>
    <row r="397">
      <c r="A397" s="547" t="n"/>
      <c r="B397" s="548" t="n"/>
      <c r="C397" s="511" t="n"/>
      <c r="D397" s="511" t="n"/>
      <c r="E397" s="511" t="n"/>
      <c r="F397" s="548" t="n"/>
    </row>
    <row r="398">
      <c r="A398" s="547" t="n"/>
      <c r="B398" s="548" t="n"/>
      <c r="C398" s="511" t="n"/>
      <c r="D398" s="511" t="n"/>
      <c r="E398" s="511" t="n"/>
      <c r="F398" s="548" t="n"/>
    </row>
    <row r="399">
      <c r="A399" s="547" t="n"/>
      <c r="B399" s="548" t="n"/>
      <c r="C399" s="511" t="n"/>
      <c r="D399" s="511" t="n"/>
      <c r="E399" s="511" t="n"/>
      <c r="F399" s="548" t="n"/>
    </row>
    <row r="400">
      <c r="A400" s="547" t="n"/>
      <c r="B400" s="548" t="n"/>
      <c r="C400" s="511" t="n"/>
      <c r="D400" s="511" t="n"/>
      <c r="E400" s="511" t="n"/>
      <c r="F400" s="548" t="n"/>
    </row>
    <row r="401">
      <c r="A401" s="547" t="n"/>
      <c r="B401" s="548" t="n"/>
      <c r="C401" s="511" t="n"/>
      <c r="D401" s="511" t="n"/>
      <c r="E401" s="511" t="n"/>
      <c r="F401" s="548" t="n"/>
    </row>
    <row r="402">
      <c r="A402" s="547" t="n"/>
      <c r="B402" s="548" t="n"/>
      <c r="C402" s="511" t="n"/>
      <c r="D402" s="511" t="n"/>
      <c r="E402" s="511" t="n"/>
      <c r="F402" s="548" t="n"/>
    </row>
    <row r="403">
      <c r="A403" s="547" t="n"/>
      <c r="B403" s="548" t="n"/>
      <c r="C403" s="511" t="n"/>
      <c r="D403" s="511" t="n"/>
      <c r="E403" s="511" t="n"/>
      <c r="F403" s="548" t="n"/>
    </row>
    <row r="404">
      <c r="A404" s="547" t="n"/>
      <c r="B404" s="548" t="n"/>
      <c r="C404" s="511" t="n"/>
      <c r="D404" s="511" t="n"/>
      <c r="E404" s="511" t="n"/>
      <c r="F404" s="548" t="n"/>
    </row>
    <row r="405">
      <c r="A405" s="547" t="n"/>
      <c r="B405" s="548" t="n"/>
      <c r="C405" s="511" t="n"/>
      <c r="D405" s="511" t="n"/>
      <c r="E405" s="511" t="n"/>
      <c r="F405" s="548" t="n"/>
    </row>
    <row r="406">
      <c r="A406" s="547" t="n"/>
      <c r="B406" s="548" t="n"/>
      <c r="C406" s="511" t="n"/>
      <c r="D406" s="511" t="n"/>
      <c r="E406" s="511" t="n"/>
      <c r="F406" s="548" t="n"/>
    </row>
    <row r="407">
      <c r="A407" s="547" t="n"/>
      <c r="B407" s="548" t="n"/>
      <c r="C407" s="511" t="n"/>
      <c r="D407" s="511" t="n"/>
      <c r="E407" s="511" t="n"/>
      <c r="F407" s="548" t="n"/>
    </row>
    <row r="408">
      <c r="A408" s="547" t="n"/>
      <c r="B408" s="548" t="n"/>
      <c r="C408" s="511" t="n"/>
      <c r="D408" s="511" t="n"/>
      <c r="E408" s="511" t="n"/>
      <c r="F408" s="548" t="n"/>
    </row>
    <row r="409">
      <c r="A409" s="547" t="n"/>
      <c r="B409" s="548" t="n"/>
      <c r="C409" s="511" t="n"/>
      <c r="D409" s="511" t="n"/>
      <c r="E409" s="511" t="n"/>
      <c r="F409" s="548" t="n"/>
    </row>
    <row r="410">
      <c r="A410" s="547" t="n"/>
      <c r="B410" s="548" t="n"/>
      <c r="C410" s="511" t="n"/>
      <c r="D410" s="511" t="n"/>
      <c r="E410" s="511" t="n"/>
      <c r="F410" s="548" t="n"/>
    </row>
    <row r="411">
      <c r="A411" s="547" t="n"/>
      <c r="B411" s="548" t="n"/>
      <c r="C411" s="511" t="n"/>
      <c r="D411" s="511" t="n"/>
      <c r="E411" s="511" t="n"/>
      <c r="F411" s="548" t="n"/>
    </row>
    <row r="412">
      <c r="A412" s="547" t="n"/>
      <c r="B412" s="548" t="n"/>
      <c r="C412" s="511" t="n"/>
      <c r="D412" s="511" t="n"/>
      <c r="E412" s="511" t="n"/>
      <c r="F412" s="548" t="n"/>
    </row>
    <row r="413">
      <c r="A413" s="547" t="n"/>
      <c r="B413" s="548" t="n"/>
      <c r="C413" s="511" t="n"/>
      <c r="D413" s="511" t="n"/>
      <c r="E413" s="511" t="n"/>
      <c r="F413" s="548" t="n"/>
    </row>
    <row r="414">
      <c r="A414" s="547" t="n"/>
      <c r="B414" s="548" t="n"/>
      <c r="C414" s="511" t="n"/>
      <c r="D414" s="511" t="n"/>
      <c r="E414" s="511" t="n"/>
      <c r="F414" s="548" t="n"/>
    </row>
    <row r="415">
      <c r="A415" s="547" t="n"/>
      <c r="B415" s="548" t="n"/>
      <c r="C415" s="511" t="n"/>
      <c r="D415" s="511" t="n"/>
      <c r="E415" s="511" t="n"/>
      <c r="F415" s="548" t="n"/>
    </row>
    <row r="416">
      <c r="A416" s="547" t="n"/>
      <c r="B416" s="548" t="n"/>
      <c r="C416" s="511" t="n"/>
      <c r="D416" s="511" t="n"/>
      <c r="E416" s="511" t="n"/>
      <c r="F416" s="548" t="n"/>
    </row>
    <row r="417">
      <c r="A417" s="547" t="n"/>
      <c r="B417" s="548" t="n"/>
      <c r="C417" s="511" t="n"/>
      <c r="D417" s="511" t="n"/>
      <c r="E417" s="511" t="n"/>
      <c r="F417" s="548" t="n"/>
    </row>
    <row r="418">
      <c r="A418" s="547" t="n"/>
      <c r="B418" s="548" t="n"/>
      <c r="C418" s="511" t="n"/>
      <c r="D418" s="511" t="n"/>
      <c r="E418" s="511" t="n"/>
      <c r="F418" s="548" t="n"/>
    </row>
    <row r="419">
      <c r="A419" s="547" t="n"/>
      <c r="B419" s="548" t="n"/>
      <c r="C419" s="511" t="n"/>
      <c r="D419" s="511" t="n"/>
      <c r="E419" s="511" t="n"/>
      <c r="F419" s="548" t="n"/>
    </row>
    <row r="420">
      <c r="A420" s="547" t="n"/>
      <c r="B420" s="548" t="n"/>
      <c r="C420" s="511" t="n"/>
      <c r="D420" s="511" t="n"/>
      <c r="E420" s="511" t="n"/>
      <c r="F420" s="548" t="n"/>
    </row>
    <row r="421">
      <c r="A421" s="547" t="n"/>
      <c r="B421" s="548" t="n"/>
      <c r="C421" s="511" t="n"/>
      <c r="D421" s="511" t="n"/>
      <c r="E421" s="511" t="n"/>
      <c r="F421" s="548" t="n"/>
    </row>
    <row r="422">
      <c r="A422" s="547" t="n"/>
      <c r="B422" s="548" t="n"/>
      <c r="C422" s="511" t="n"/>
      <c r="D422" s="511" t="n"/>
      <c r="E422" s="511" t="n"/>
      <c r="F422" s="548" t="n"/>
    </row>
    <row r="423">
      <c r="A423" s="547" t="n"/>
      <c r="B423" s="548" t="n"/>
      <c r="C423" s="511" t="n"/>
      <c r="D423" s="511" t="n"/>
      <c r="E423" s="511" t="n"/>
      <c r="F423" s="548" t="n"/>
    </row>
    <row r="424">
      <c r="A424" s="547" t="n"/>
      <c r="B424" s="548" t="n"/>
      <c r="C424" s="511" t="n"/>
      <c r="D424" s="511" t="n"/>
      <c r="E424" s="511" t="n"/>
      <c r="F424" s="548" t="n"/>
    </row>
    <row r="425">
      <c r="A425" s="547" t="n"/>
      <c r="B425" s="548" t="n"/>
      <c r="C425" s="511" t="n"/>
      <c r="D425" s="511" t="n"/>
      <c r="E425" s="511" t="n"/>
      <c r="F425" s="548" t="n"/>
    </row>
    <row r="426">
      <c r="A426" s="547" t="n"/>
      <c r="B426" s="548" t="n"/>
      <c r="C426" s="511" t="n"/>
      <c r="D426" s="511" t="n"/>
      <c r="E426" s="511" t="n"/>
      <c r="F426" s="548" t="n"/>
    </row>
    <row r="427">
      <c r="A427" s="547" t="n"/>
      <c r="B427" s="548" t="n"/>
      <c r="C427" s="511" t="n"/>
      <c r="D427" s="511" t="n"/>
      <c r="E427" s="511" t="n"/>
      <c r="F427" s="548" t="n"/>
    </row>
    <row r="428">
      <c r="A428" s="547" t="n"/>
      <c r="B428" s="548" t="n"/>
      <c r="C428" s="511" t="n"/>
      <c r="D428" s="511" t="n"/>
      <c r="E428" s="511" t="n"/>
      <c r="F428" s="548" t="n"/>
    </row>
    <row r="429">
      <c r="A429" s="547" t="n"/>
      <c r="B429" s="548" t="n"/>
      <c r="C429" s="511" t="n"/>
      <c r="D429" s="511" t="n"/>
      <c r="E429" s="511" t="n"/>
      <c r="F429" s="548" t="n"/>
    </row>
    <row r="430">
      <c r="A430" s="547" t="n"/>
      <c r="B430" s="548" t="n"/>
      <c r="C430" s="511" t="n"/>
      <c r="D430" s="511" t="n"/>
      <c r="E430" s="511" t="n"/>
      <c r="F430" s="548" t="n"/>
    </row>
    <row r="431">
      <c r="A431" s="547" t="n"/>
      <c r="B431" s="548" t="n"/>
      <c r="C431" s="511" t="n"/>
      <c r="D431" s="511" t="n"/>
      <c r="E431" s="511" t="n"/>
      <c r="F431" s="548" t="n"/>
    </row>
    <row r="432">
      <c r="A432" s="547" t="n"/>
      <c r="B432" s="548" t="n"/>
      <c r="C432" s="511" t="n"/>
      <c r="D432" s="511" t="n"/>
      <c r="E432" s="511" t="n"/>
      <c r="F432" s="548" t="n"/>
    </row>
    <row r="433">
      <c r="A433" s="547" t="n"/>
      <c r="B433" s="548" t="n"/>
      <c r="C433" s="511" t="n"/>
      <c r="D433" s="511" t="n"/>
      <c r="E433" s="511" t="n"/>
      <c r="F433" s="548" t="n"/>
    </row>
    <row r="434">
      <c r="A434" s="547" t="n"/>
      <c r="B434" s="548" t="n"/>
      <c r="C434" s="511" t="n"/>
      <c r="D434" s="511" t="n"/>
      <c r="E434" s="511" t="n"/>
      <c r="F434" s="548" t="n"/>
    </row>
    <row r="435">
      <c r="A435" s="547" t="n"/>
      <c r="B435" s="548" t="n"/>
      <c r="C435" s="511" t="n"/>
      <c r="D435" s="511" t="n"/>
      <c r="E435" s="511" t="n"/>
      <c r="F435" s="548" t="n"/>
    </row>
    <row r="436">
      <c r="A436" s="547" t="n"/>
      <c r="B436" s="548" t="n"/>
      <c r="C436" s="511" t="n"/>
      <c r="D436" s="511" t="n"/>
      <c r="E436" s="511" t="n"/>
      <c r="F436" s="548" t="n"/>
    </row>
    <row r="437">
      <c r="A437" s="547" t="n"/>
      <c r="B437" s="548" t="n"/>
      <c r="C437" s="511" t="n"/>
      <c r="D437" s="511" t="n"/>
      <c r="E437" s="511" t="n"/>
      <c r="F437" s="548" t="n"/>
    </row>
    <row r="438">
      <c r="A438" s="547" t="n"/>
      <c r="B438" s="548" t="n"/>
      <c r="C438" s="511" t="n"/>
      <c r="D438" s="511" t="n"/>
      <c r="E438" s="511" t="n"/>
      <c r="F438" s="548" t="n"/>
    </row>
    <row r="439">
      <c r="A439" s="547" t="n"/>
      <c r="B439" s="548" t="n"/>
      <c r="C439" s="511" t="n"/>
      <c r="D439" s="511" t="n"/>
      <c r="E439" s="511" t="n"/>
      <c r="F439" s="548" t="n"/>
    </row>
    <row r="440">
      <c r="A440" s="547" t="n"/>
      <c r="B440" s="548" t="n"/>
      <c r="C440" s="511" t="n"/>
      <c r="D440" s="511" t="n"/>
      <c r="E440" s="511" t="n"/>
      <c r="F440" s="548" t="n"/>
    </row>
    <row r="441">
      <c r="A441" s="547" t="n"/>
      <c r="B441" s="548" t="n"/>
      <c r="C441" s="511" t="n"/>
      <c r="D441" s="511" t="n"/>
      <c r="E441" s="511" t="n"/>
      <c r="F441" s="548" t="n"/>
    </row>
    <row r="442">
      <c r="A442" s="547" t="n"/>
      <c r="B442" s="548" t="n"/>
      <c r="C442" s="511" t="n"/>
      <c r="D442" s="511" t="n"/>
      <c r="E442" s="511" t="n"/>
      <c r="F442" s="548" t="n"/>
    </row>
    <row r="443">
      <c r="A443" s="547" t="n"/>
      <c r="B443" s="548" t="n"/>
      <c r="C443" s="511" t="n"/>
      <c r="D443" s="511" t="n"/>
      <c r="E443" s="511" t="n"/>
      <c r="F443" s="548" t="n"/>
    </row>
    <row r="444">
      <c r="A444" s="547" t="n"/>
      <c r="B444" s="548" t="n"/>
      <c r="C444" s="511" t="n"/>
      <c r="D444" s="511" t="n"/>
      <c r="E444" s="511" t="n"/>
      <c r="F444" s="548" t="n"/>
    </row>
    <row r="445">
      <c r="A445" s="547" t="n"/>
      <c r="B445" s="548" t="n"/>
      <c r="C445" s="511" t="n"/>
      <c r="D445" s="511" t="n"/>
      <c r="E445" s="511" t="n"/>
      <c r="F445" s="548" t="n"/>
    </row>
    <row r="446">
      <c r="A446" s="547" t="n"/>
      <c r="B446" s="548" t="n"/>
      <c r="C446" s="511" t="n"/>
      <c r="D446" s="511" t="n"/>
      <c r="E446" s="511" t="n"/>
      <c r="F446" s="548" t="n"/>
    </row>
    <row r="447">
      <c r="A447" s="547" t="n"/>
      <c r="B447" s="548" t="n"/>
      <c r="C447" s="511" t="n"/>
      <c r="D447" s="511" t="n"/>
      <c r="E447" s="511" t="n"/>
      <c r="F447" s="548" t="n"/>
    </row>
    <row r="448">
      <c r="A448" s="547" t="n"/>
      <c r="B448" s="548" t="n"/>
      <c r="C448" s="511" t="n"/>
      <c r="D448" s="511" t="n"/>
      <c r="E448" s="511" t="n"/>
      <c r="F448" s="548" t="n"/>
    </row>
    <row r="449">
      <c r="A449" s="547" t="n"/>
      <c r="B449" s="548" t="n"/>
      <c r="C449" s="511" t="n"/>
      <c r="D449" s="511" t="n"/>
      <c r="E449" s="511" t="n"/>
      <c r="F449" s="548" t="n"/>
    </row>
    <row r="450">
      <c r="A450" s="547" t="n"/>
      <c r="B450" s="548" t="n"/>
      <c r="C450" s="511" t="n"/>
      <c r="D450" s="511" t="n"/>
      <c r="E450" s="511" t="n"/>
      <c r="F450" s="548" t="n"/>
    </row>
    <row r="451">
      <c r="A451" s="547" t="n"/>
      <c r="B451" s="548" t="n"/>
      <c r="C451" s="511" t="n"/>
      <c r="D451" s="511" t="n"/>
      <c r="E451" s="511" t="n"/>
      <c r="F451" s="548" t="n"/>
    </row>
    <row r="452">
      <c r="A452" s="547" t="n"/>
      <c r="B452" s="548" t="n"/>
      <c r="C452" s="511" t="n"/>
      <c r="D452" s="511" t="n"/>
      <c r="E452" s="511" t="n"/>
      <c r="F452" s="548" t="n"/>
    </row>
    <row r="453">
      <c r="A453" s="547" t="n"/>
      <c r="B453" s="548" t="n"/>
      <c r="C453" s="511" t="n"/>
      <c r="D453" s="511" t="n"/>
      <c r="E453" s="511" t="n"/>
      <c r="F453" s="548" t="n"/>
    </row>
    <row r="454">
      <c r="A454" s="547" t="n"/>
      <c r="B454" s="548" t="n"/>
      <c r="C454" s="511" t="n"/>
      <c r="D454" s="511" t="n"/>
      <c r="E454" s="511" t="n"/>
      <c r="F454" s="548" t="n"/>
    </row>
    <row r="455">
      <c r="A455" s="547" t="n"/>
      <c r="B455" s="548" t="n"/>
      <c r="C455" s="511" t="n"/>
      <c r="D455" s="511" t="n"/>
      <c r="E455" s="511" t="n"/>
      <c r="F455" s="548" t="n"/>
    </row>
    <row r="456">
      <c r="A456" s="547" t="n"/>
      <c r="B456" s="548" t="n"/>
      <c r="C456" s="511" t="n"/>
      <c r="D456" s="511" t="n"/>
      <c r="E456" s="511" t="n"/>
      <c r="F456" s="548" t="n"/>
    </row>
    <row r="457">
      <c r="A457" s="547" t="n"/>
      <c r="B457" s="548" t="n"/>
      <c r="C457" s="511" t="n"/>
      <c r="D457" s="511" t="n"/>
      <c r="E457" s="511" t="n"/>
      <c r="F457" s="548" t="n"/>
    </row>
    <row r="458">
      <c r="A458" s="547" t="n"/>
      <c r="B458" s="548" t="n"/>
      <c r="C458" s="511" t="n"/>
      <c r="D458" s="511" t="n"/>
      <c r="E458" s="511" t="n"/>
      <c r="F458" s="548" t="n"/>
    </row>
    <row r="459">
      <c r="A459" s="547" t="n"/>
      <c r="B459" s="548" t="n"/>
      <c r="C459" s="511" t="n"/>
      <c r="D459" s="511" t="n"/>
      <c r="E459" s="511" t="n"/>
      <c r="F459" s="548" t="n"/>
    </row>
    <row r="460">
      <c r="A460" s="547" t="n"/>
      <c r="B460" s="548" t="n"/>
      <c r="C460" s="511" t="n"/>
      <c r="D460" s="511" t="n"/>
      <c r="E460" s="511" t="n"/>
      <c r="F460" s="548" t="n"/>
    </row>
    <row r="461">
      <c r="A461" s="547" t="n"/>
      <c r="B461" s="548" t="n"/>
      <c r="C461" s="511" t="n"/>
      <c r="D461" s="511" t="n"/>
      <c r="E461" s="511" t="n"/>
      <c r="F461" s="548" t="n"/>
    </row>
    <row r="462">
      <c r="A462" s="547" t="n"/>
      <c r="B462" s="548" t="n"/>
      <c r="C462" s="511" t="n"/>
      <c r="D462" s="511" t="n"/>
      <c r="E462" s="511" t="n"/>
      <c r="F462" s="548" t="n"/>
    </row>
    <row r="463">
      <c r="A463" s="547" t="n"/>
      <c r="B463" s="548" t="n"/>
      <c r="C463" s="511" t="n"/>
      <c r="D463" s="511" t="n"/>
      <c r="E463" s="511" t="n"/>
      <c r="F463" s="548" t="n"/>
    </row>
    <row r="464">
      <c r="A464" s="547" t="n"/>
      <c r="B464" s="548" t="n"/>
      <c r="C464" s="511" t="n"/>
      <c r="D464" s="511" t="n"/>
      <c r="E464" s="511" t="n"/>
      <c r="F464" s="548" t="n"/>
    </row>
    <row r="465">
      <c r="A465" s="547" t="n"/>
      <c r="B465" s="548" t="n"/>
      <c r="C465" s="511" t="n"/>
      <c r="D465" s="511" t="n"/>
      <c r="E465" s="511" t="n"/>
      <c r="F465" s="548" t="n"/>
    </row>
    <row r="466">
      <c r="A466" s="547" t="n"/>
      <c r="B466" s="548" t="n"/>
      <c r="C466" s="511" t="n"/>
      <c r="D466" s="511" t="n"/>
      <c r="E466" s="511" t="n"/>
      <c r="F466" s="548" t="n"/>
    </row>
    <row r="467">
      <c r="A467" s="547" t="n"/>
      <c r="B467" s="548" t="n"/>
      <c r="C467" s="511" t="n"/>
      <c r="D467" s="511" t="n"/>
      <c r="E467" s="511" t="n"/>
      <c r="F467" s="548" t="n"/>
    </row>
    <row r="468">
      <c r="A468" s="547" t="n"/>
      <c r="B468" s="548" t="n"/>
      <c r="C468" s="511" t="n"/>
      <c r="D468" s="511" t="n"/>
      <c r="E468" s="511" t="n"/>
      <c r="F468" s="548" t="n"/>
    </row>
    <row r="469">
      <c r="A469" s="547" t="n"/>
      <c r="B469" s="548" t="n"/>
      <c r="C469" s="511" t="n"/>
      <c r="D469" s="511" t="n"/>
      <c r="E469" s="511" t="n"/>
      <c r="F469" s="548" t="n"/>
    </row>
    <row r="470">
      <c r="A470" s="547" t="n"/>
      <c r="B470" s="548" t="n"/>
      <c r="C470" s="511" t="n"/>
      <c r="D470" s="511" t="n"/>
      <c r="E470" s="511" t="n"/>
      <c r="F470" s="548" t="n"/>
    </row>
    <row r="471">
      <c r="A471" s="547" t="n"/>
      <c r="B471" s="548" t="n"/>
      <c r="C471" s="511" t="n"/>
      <c r="D471" s="511" t="n"/>
      <c r="E471" s="511" t="n"/>
      <c r="F471" s="548" t="n"/>
    </row>
    <row r="472">
      <c r="A472" s="547" t="n"/>
      <c r="B472" s="548" t="n"/>
      <c r="C472" s="511" t="n"/>
      <c r="D472" s="511" t="n"/>
      <c r="E472" s="511" t="n"/>
      <c r="F472" s="548" t="n"/>
    </row>
    <row r="473">
      <c r="A473" s="547" t="n"/>
      <c r="B473" s="548" t="n"/>
      <c r="C473" s="511" t="n"/>
      <c r="D473" s="511" t="n"/>
      <c r="E473" s="511" t="n"/>
      <c r="F473" s="548" t="n"/>
    </row>
    <row r="474">
      <c r="A474" s="547" t="n"/>
      <c r="B474" s="548" t="n"/>
      <c r="C474" s="511" t="n"/>
      <c r="D474" s="511" t="n"/>
      <c r="E474" s="511" t="n"/>
      <c r="F474" s="548" t="n"/>
    </row>
    <row r="475">
      <c r="A475" s="547" t="n"/>
      <c r="B475" s="548" t="n"/>
      <c r="C475" s="511" t="n"/>
      <c r="D475" s="511" t="n"/>
      <c r="E475" s="511" t="n"/>
      <c r="F475" s="548" t="n"/>
    </row>
    <row r="476">
      <c r="A476" s="547" t="n"/>
      <c r="B476" s="548" t="n"/>
      <c r="C476" s="511" t="n"/>
      <c r="D476" s="511" t="n"/>
      <c r="E476" s="511" t="n"/>
      <c r="F476" s="548" t="n"/>
    </row>
    <row r="477">
      <c r="A477" s="547" t="n"/>
      <c r="B477" s="548" t="n"/>
      <c r="C477" s="511" t="n"/>
      <c r="D477" s="511" t="n"/>
      <c r="E477" s="511" t="n"/>
      <c r="F477" s="548" t="n"/>
    </row>
    <row r="478">
      <c r="A478" s="547" t="n"/>
      <c r="B478" s="548" t="n"/>
      <c r="C478" s="511" t="n"/>
      <c r="D478" s="511" t="n"/>
      <c r="E478" s="511" t="n"/>
      <c r="F478" s="548" t="n"/>
    </row>
    <row r="479">
      <c r="A479" s="547" t="n"/>
      <c r="B479" s="548" t="n"/>
      <c r="C479" s="511" t="n"/>
      <c r="D479" s="511" t="n"/>
      <c r="E479" s="511" t="n"/>
      <c r="F479" s="548" t="n"/>
    </row>
    <row r="480">
      <c r="A480" s="547" t="n"/>
      <c r="B480" s="548" t="n"/>
      <c r="C480" s="511" t="n"/>
      <c r="D480" s="511" t="n"/>
      <c r="E480" s="511" t="n"/>
      <c r="F480" s="548" t="n"/>
    </row>
    <row r="481">
      <c r="A481" s="547" t="n"/>
      <c r="B481" s="548" t="n"/>
      <c r="C481" s="511" t="n"/>
      <c r="D481" s="511" t="n"/>
      <c r="E481" s="511" t="n"/>
      <c r="F481" s="548" t="n"/>
    </row>
    <row r="482">
      <c r="A482" s="547" t="n"/>
      <c r="B482" s="548" t="n"/>
      <c r="C482" s="511" t="n"/>
      <c r="D482" s="511" t="n"/>
      <c r="E482" s="511" t="n"/>
      <c r="F482" s="548" t="n"/>
    </row>
    <row r="483">
      <c r="A483" s="547" t="n"/>
      <c r="B483" s="548" t="n"/>
      <c r="C483" s="511" t="n"/>
      <c r="D483" s="511" t="n"/>
      <c r="E483" s="511" t="n"/>
      <c r="F483" s="548" t="n"/>
    </row>
    <row r="484">
      <c r="A484" s="547" t="n"/>
      <c r="B484" s="548" t="n"/>
      <c r="C484" s="511" t="n"/>
      <c r="D484" s="511" t="n"/>
      <c r="E484" s="511" t="n"/>
      <c r="F484" s="548" t="n"/>
    </row>
    <row r="485">
      <c r="A485" s="547" t="n"/>
      <c r="B485" s="548" t="n"/>
      <c r="C485" s="511" t="n"/>
      <c r="D485" s="511" t="n"/>
      <c r="E485" s="511" t="n"/>
      <c r="F485" s="548" t="n"/>
    </row>
    <row r="486">
      <c r="A486" s="547" t="n"/>
      <c r="B486" s="548" t="n"/>
      <c r="C486" s="511" t="n"/>
      <c r="D486" s="511" t="n"/>
      <c r="E486" s="511" t="n"/>
      <c r="F486" s="548" t="n"/>
    </row>
    <row r="487">
      <c r="A487" s="547" t="n"/>
      <c r="B487" s="548" t="n"/>
      <c r="C487" s="511" t="n"/>
      <c r="D487" s="511" t="n"/>
      <c r="E487" s="511" t="n"/>
      <c r="F487" s="548" t="n"/>
    </row>
    <row r="488">
      <c r="A488" s="547" t="n"/>
      <c r="B488" s="548" t="n"/>
      <c r="C488" s="511" t="n"/>
      <c r="D488" s="511" t="n"/>
      <c r="E488" s="511" t="n"/>
      <c r="F488" s="548" t="n"/>
    </row>
    <row r="489">
      <c r="A489" s="547" t="n"/>
      <c r="B489" s="548" t="n"/>
      <c r="C489" s="511" t="n"/>
      <c r="D489" s="511" t="n"/>
      <c r="E489" s="511" t="n"/>
      <c r="F489" s="548" t="n"/>
    </row>
    <row r="490">
      <c r="A490" s="547" t="n"/>
      <c r="B490" s="548" t="n"/>
      <c r="C490" s="511" t="n"/>
      <c r="D490" s="511" t="n"/>
      <c r="E490" s="511" t="n"/>
      <c r="F490" s="548" t="n"/>
    </row>
    <row r="491">
      <c r="A491" s="547" t="n"/>
      <c r="B491" s="548" t="n"/>
      <c r="C491" s="511" t="n"/>
      <c r="D491" s="511" t="n"/>
      <c r="E491" s="511" t="n"/>
      <c r="F491" s="548" t="n"/>
    </row>
    <row r="492">
      <c r="A492" s="547" t="n"/>
      <c r="B492" s="548" t="n"/>
      <c r="C492" s="511" t="n"/>
      <c r="D492" s="511" t="n"/>
      <c r="E492" s="511" t="n"/>
      <c r="F492" s="548" t="n"/>
    </row>
    <row r="493">
      <c r="A493" s="547" t="n"/>
      <c r="B493" s="548" t="n"/>
      <c r="C493" s="511" t="n"/>
      <c r="D493" s="511" t="n"/>
      <c r="E493" s="511" t="n"/>
      <c r="F493" s="548" t="n"/>
    </row>
    <row r="494">
      <c r="A494" s="547" t="n"/>
      <c r="B494" s="548" t="n"/>
      <c r="C494" s="511" t="n"/>
      <c r="D494" s="511" t="n"/>
      <c r="E494" s="511" t="n"/>
      <c r="F494" s="548" t="n"/>
    </row>
    <row r="495">
      <c r="A495" s="547" t="n"/>
      <c r="B495" s="548" t="n"/>
      <c r="C495" s="511" t="n"/>
      <c r="D495" s="511" t="n"/>
      <c r="E495" s="511" t="n"/>
      <c r="F495" s="548" t="n"/>
    </row>
    <row r="496">
      <c r="A496" s="547" t="n"/>
      <c r="B496" s="548" t="n"/>
      <c r="C496" s="511" t="n"/>
      <c r="D496" s="511" t="n"/>
      <c r="E496" s="511" t="n"/>
      <c r="F496" s="548" t="n"/>
    </row>
    <row r="497">
      <c r="A497" s="547" t="n"/>
      <c r="B497" s="548" t="n"/>
      <c r="C497" s="511" t="n"/>
      <c r="D497" s="511" t="n"/>
      <c r="E497" s="511" t="n"/>
      <c r="F497" s="548" t="n"/>
    </row>
    <row r="498">
      <c r="A498" s="547" t="n"/>
      <c r="B498" s="548" t="n"/>
      <c r="C498" s="511" t="n"/>
      <c r="D498" s="511" t="n"/>
      <c r="E498" s="511" t="n"/>
      <c r="F498" s="548" t="n"/>
    </row>
    <row r="499">
      <c r="A499" s="547" t="n"/>
      <c r="B499" s="548" t="n"/>
      <c r="C499" s="511" t="n"/>
      <c r="D499" s="511" t="n"/>
      <c r="E499" s="511" t="n"/>
      <c r="F499" s="548" t="n"/>
    </row>
    <row r="500">
      <c r="A500" s="547" t="n"/>
      <c r="B500" s="548" t="n"/>
      <c r="C500" s="511" t="n"/>
      <c r="D500" s="511" t="n"/>
      <c r="E500" s="511" t="n"/>
      <c r="F500" s="548" t="n"/>
    </row>
    <row r="501">
      <c r="A501" s="547" t="n"/>
      <c r="B501" s="548" t="n"/>
      <c r="C501" s="511" t="n"/>
      <c r="D501" s="511" t="n"/>
      <c r="E501" s="511" t="n"/>
      <c r="F501" s="548" t="n"/>
    </row>
    <row r="502">
      <c r="A502" s="547" t="n"/>
      <c r="B502" s="548" t="n"/>
      <c r="C502" s="511" t="n"/>
      <c r="D502" s="511" t="n"/>
      <c r="E502" s="511" t="n"/>
      <c r="F502" s="548" t="n"/>
    </row>
    <row r="503">
      <c r="A503" s="547" t="n"/>
      <c r="B503" s="548" t="n"/>
      <c r="C503" s="511" t="n"/>
      <c r="D503" s="511" t="n"/>
      <c r="E503" s="511" t="n"/>
      <c r="F503" s="548" t="n"/>
    </row>
    <row r="504">
      <c r="A504" s="547" t="n"/>
      <c r="B504" s="548" t="n"/>
      <c r="C504" s="511" t="n"/>
      <c r="D504" s="511" t="n"/>
      <c r="E504" s="511" t="n"/>
      <c r="F504" s="548" t="n"/>
    </row>
    <row r="505">
      <c r="A505" s="547" t="n"/>
      <c r="B505" s="548" t="n"/>
      <c r="C505" s="511" t="n"/>
      <c r="D505" s="511" t="n"/>
      <c r="E505" s="511" t="n"/>
      <c r="F505" s="548" t="n"/>
    </row>
    <row r="506">
      <c r="A506" s="547" t="n"/>
      <c r="B506" s="548" t="n"/>
      <c r="C506" s="511" t="n"/>
      <c r="D506" s="511" t="n"/>
      <c r="E506" s="511" t="n"/>
      <c r="F506" s="548" t="n"/>
    </row>
    <row r="507">
      <c r="A507" s="547" t="n"/>
      <c r="B507" s="548" t="n"/>
      <c r="C507" s="511" t="n"/>
      <c r="D507" s="511" t="n"/>
      <c r="E507" s="511" t="n"/>
      <c r="F507" s="548" t="n"/>
    </row>
    <row r="508">
      <c r="A508" s="547" t="n"/>
      <c r="B508" s="548" t="n"/>
      <c r="C508" s="511" t="n"/>
      <c r="D508" s="511" t="n"/>
      <c r="E508" s="511" t="n"/>
      <c r="F508" s="548" t="n"/>
    </row>
    <row r="509">
      <c r="A509" s="547" t="n"/>
      <c r="B509" s="548" t="n"/>
      <c r="C509" s="511" t="n"/>
      <c r="D509" s="511" t="n"/>
      <c r="E509" s="511" t="n"/>
      <c r="F509" s="548" t="n"/>
    </row>
    <row r="510">
      <c r="A510" s="547" t="n"/>
      <c r="B510" s="548" t="n"/>
      <c r="C510" s="511" t="n"/>
      <c r="D510" s="511" t="n"/>
      <c r="E510" s="511" t="n"/>
      <c r="F510" s="548" t="n"/>
    </row>
    <row r="511">
      <c r="A511" s="547" t="n"/>
      <c r="B511" s="548" t="n"/>
      <c r="C511" s="511" t="n"/>
      <c r="D511" s="511" t="n"/>
      <c r="E511" s="511" t="n"/>
      <c r="F511" s="548" t="n"/>
    </row>
    <row r="512">
      <c r="A512" s="547" t="n"/>
      <c r="B512" s="548" t="n"/>
      <c r="C512" s="511" t="n"/>
      <c r="D512" s="511" t="n"/>
      <c r="E512" s="511" t="n"/>
      <c r="F512" s="548" t="n"/>
    </row>
    <row r="513">
      <c r="A513" s="547" t="n"/>
      <c r="B513" s="548" t="n"/>
      <c r="C513" s="511" t="n"/>
      <c r="D513" s="511" t="n"/>
      <c r="E513" s="511" t="n"/>
      <c r="F513" s="548" t="n"/>
    </row>
    <row r="514">
      <c r="A514" s="547" t="n"/>
      <c r="B514" s="548" t="n"/>
      <c r="C514" s="511" t="n"/>
      <c r="D514" s="511" t="n"/>
      <c r="E514" s="511" t="n"/>
      <c r="F514" s="548" t="n"/>
    </row>
    <row r="515">
      <c r="A515" s="547" t="n"/>
      <c r="B515" s="548" t="n"/>
      <c r="C515" s="511" t="n"/>
      <c r="D515" s="511" t="n"/>
      <c r="E515" s="511" t="n"/>
      <c r="F515" s="548" t="n"/>
    </row>
    <row r="516">
      <c r="A516" s="547" t="n"/>
      <c r="B516" s="548" t="n"/>
      <c r="C516" s="511" t="n"/>
      <c r="D516" s="511" t="n"/>
      <c r="E516" s="511" t="n"/>
      <c r="F516" s="548" t="n"/>
    </row>
    <row r="517">
      <c r="A517" s="547" t="n"/>
      <c r="B517" s="548" t="n"/>
      <c r="C517" s="511" t="n"/>
      <c r="D517" s="511" t="n"/>
      <c r="E517" s="511" t="n"/>
      <c r="F517" s="548" t="n"/>
    </row>
    <row r="518">
      <c r="A518" s="547" t="n"/>
      <c r="B518" s="548" t="n"/>
      <c r="C518" s="511" t="n"/>
      <c r="D518" s="511" t="n"/>
      <c r="E518" s="511" t="n"/>
      <c r="F518" s="548" t="n"/>
    </row>
    <row r="519">
      <c r="A519" s="547" t="n"/>
      <c r="B519" s="548" t="n"/>
      <c r="C519" s="511" t="n"/>
      <c r="D519" s="511" t="n"/>
      <c r="E519" s="511" t="n"/>
      <c r="F519" s="548" t="n"/>
    </row>
    <row r="520">
      <c r="A520" s="547" t="n"/>
      <c r="B520" s="548" t="n"/>
      <c r="C520" s="511" t="n"/>
      <c r="D520" s="511" t="n"/>
      <c r="E520" s="511" t="n"/>
      <c r="F520" s="548" t="n"/>
    </row>
    <row r="521">
      <c r="A521" s="547" t="n"/>
      <c r="B521" s="548" t="n"/>
      <c r="C521" s="511" t="n"/>
      <c r="D521" s="511" t="n"/>
      <c r="E521" s="511" t="n"/>
      <c r="F521" s="548" t="n"/>
    </row>
    <row r="522">
      <c r="A522" s="547" t="n"/>
      <c r="B522" s="548" t="n"/>
      <c r="C522" s="511" t="n"/>
      <c r="D522" s="511" t="n"/>
      <c r="E522" s="511" t="n"/>
      <c r="F522" s="548" t="n"/>
    </row>
    <row r="523">
      <c r="A523" s="547" t="n"/>
      <c r="B523" s="548" t="n"/>
      <c r="C523" s="511" t="n"/>
      <c r="D523" s="511" t="n"/>
      <c r="E523" s="511" t="n"/>
      <c r="F523" s="548" t="n"/>
    </row>
    <row r="524">
      <c r="A524" s="547" t="n"/>
      <c r="B524" s="548" t="n"/>
      <c r="C524" s="511" t="n"/>
      <c r="D524" s="511" t="n"/>
      <c r="E524" s="511" t="n"/>
      <c r="F524" s="548" t="n"/>
    </row>
    <row r="525">
      <c r="A525" s="547" t="n"/>
      <c r="B525" s="548" t="n"/>
      <c r="C525" s="511" t="n"/>
      <c r="D525" s="511" t="n"/>
      <c r="E525" s="511" t="n"/>
      <c r="F525" s="548" t="n"/>
    </row>
    <row r="526">
      <c r="A526" s="547" t="n"/>
      <c r="B526" s="548" t="n"/>
      <c r="C526" s="511" t="n"/>
      <c r="D526" s="511" t="n"/>
      <c r="E526" s="511" t="n"/>
      <c r="F526" s="548" t="n"/>
    </row>
    <row r="527">
      <c r="A527" s="547" t="n"/>
      <c r="B527" s="548" t="n"/>
      <c r="C527" s="511" t="n"/>
      <c r="D527" s="511" t="n"/>
      <c r="E527" s="511" t="n"/>
      <c r="F527" s="548" t="n"/>
    </row>
    <row r="528">
      <c r="A528" s="547" t="n"/>
      <c r="B528" s="548" t="n"/>
      <c r="C528" s="511" t="n"/>
      <c r="D528" s="511" t="n"/>
      <c r="E528" s="511" t="n"/>
      <c r="F528" s="548" t="n"/>
    </row>
    <row r="529">
      <c r="A529" s="547" t="n"/>
      <c r="B529" s="548" t="n"/>
      <c r="C529" s="511" t="n"/>
      <c r="D529" s="511" t="n"/>
      <c r="E529" s="511" t="n"/>
      <c r="F529" s="548" t="n"/>
    </row>
    <row r="530">
      <c r="A530" s="547" t="n"/>
      <c r="B530" s="548" t="n"/>
      <c r="C530" s="511" t="n"/>
      <c r="D530" s="511" t="n"/>
      <c r="E530" s="511" t="n"/>
      <c r="F530" s="548" t="n"/>
    </row>
    <row r="531">
      <c r="A531" s="547" t="n"/>
      <c r="B531" s="548" t="n"/>
      <c r="C531" s="511" t="n"/>
      <c r="D531" s="511" t="n"/>
      <c r="E531" s="511" t="n"/>
      <c r="F531" s="548" t="n"/>
    </row>
    <row r="532">
      <c r="A532" s="547" t="n"/>
      <c r="B532" s="548" t="n"/>
      <c r="C532" s="511" t="n"/>
      <c r="D532" s="511" t="n"/>
      <c r="E532" s="511" t="n"/>
      <c r="F532" s="548" t="n"/>
    </row>
    <row r="533">
      <c r="A533" s="547" t="n"/>
      <c r="B533" s="548" t="n"/>
      <c r="C533" s="511" t="n"/>
      <c r="D533" s="511" t="n"/>
      <c r="E533" s="511" t="n"/>
      <c r="F533" s="548" t="n"/>
    </row>
    <row r="534">
      <c r="A534" s="547" t="n"/>
      <c r="B534" s="548" t="n"/>
      <c r="C534" s="511" t="n"/>
      <c r="D534" s="511" t="n"/>
      <c r="E534" s="511" t="n"/>
      <c r="F534" s="548" t="n"/>
    </row>
    <row r="535">
      <c r="A535" s="547" t="n"/>
      <c r="B535" s="548" t="n"/>
      <c r="C535" s="511" t="n"/>
      <c r="D535" s="511" t="n"/>
      <c r="E535" s="511" t="n"/>
      <c r="F535" s="548" t="n"/>
    </row>
    <row r="536">
      <c r="A536" s="547" t="n"/>
      <c r="B536" s="548" t="n"/>
      <c r="C536" s="511" t="n"/>
      <c r="D536" s="511" t="n"/>
      <c r="E536" s="511" t="n"/>
      <c r="F536" s="548" t="n"/>
    </row>
    <row r="537">
      <c r="A537" s="547" t="n"/>
      <c r="B537" s="548" t="n"/>
      <c r="C537" s="511" t="n"/>
      <c r="D537" s="511" t="n"/>
      <c r="E537" s="511" t="n"/>
      <c r="F537" s="548" t="n"/>
    </row>
    <row r="538">
      <c r="A538" s="547" t="n"/>
      <c r="B538" s="548" t="n"/>
      <c r="C538" s="511" t="n"/>
      <c r="D538" s="511" t="n"/>
      <c r="E538" s="511" t="n"/>
      <c r="F538" s="548" t="n"/>
    </row>
    <row r="539">
      <c r="A539" s="547" t="n"/>
      <c r="B539" s="548" t="n"/>
      <c r="C539" s="511" t="n"/>
      <c r="D539" s="511" t="n"/>
      <c r="E539" s="511" t="n"/>
      <c r="F539" s="548" t="n"/>
    </row>
    <row r="540">
      <c r="A540" s="547" t="n"/>
      <c r="B540" s="548" t="n"/>
      <c r="C540" s="511" t="n"/>
      <c r="D540" s="511" t="n"/>
      <c r="E540" s="511" t="n"/>
      <c r="F540" s="548" t="n"/>
    </row>
    <row r="541">
      <c r="A541" s="547" t="n"/>
      <c r="B541" s="548" t="n"/>
      <c r="C541" s="511" t="n"/>
      <c r="D541" s="511" t="n"/>
      <c r="E541" s="511" t="n"/>
      <c r="F541" s="548" t="n"/>
    </row>
    <row r="542">
      <c r="A542" s="547" t="n"/>
      <c r="B542" s="548" t="n"/>
      <c r="C542" s="511" t="n"/>
      <c r="D542" s="511" t="n"/>
      <c r="E542" s="511" t="n"/>
      <c r="F542" s="548" t="n"/>
    </row>
    <row r="543">
      <c r="A543" s="547" t="n"/>
      <c r="B543" s="548" t="n"/>
      <c r="C543" s="511" t="n"/>
      <c r="D543" s="511" t="n"/>
      <c r="E543" s="511" t="n"/>
      <c r="F543" s="548" t="n"/>
    </row>
    <row r="544">
      <c r="A544" s="547" t="n"/>
      <c r="B544" s="548" t="n"/>
      <c r="C544" s="511" t="n"/>
      <c r="D544" s="511" t="n"/>
      <c r="E544" s="511" t="n"/>
      <c r="F544" s="548" t="n"/>
    </row>
    <row r="545">
      <c r="A545" s="547" t="n"/>
      <c r="B545" s="548" t="n"/>
      <c r="C545" s="511" t="n"/>
      <c r="D545" s="511" t="n"/>
      <c r="E545" s="511" t="n"/>
      <c r="F545" s="548" t="n"/>
    </row>
    <row r="546">
      <c r="A546" s="547" t="n"/>
      <c r="B546" s="548" t="n"/>
      <c r="C546" s="511" t="n"/>
      <c r="D546" s="511" t="n"/>
      <c r="E546" s="511" t="n"/>
      <c r="F546" s="548" t="n"/>
    </row>
    <row r="547">
      <c r="A547" s="547" t="n"/>
      <c r="B547" s="548" t="n"/>
      <c r="C547" s="511" t="n"/>
      <c r="D547" s="511" t="n"/>
      <c r="E547" s="511" t="n"/>
      <c r="F547" s="548" t="n"/>
    </row>
    <row r="548">
      <c r="A548" s="547" t="n"/>
      <c r="B548" s="548" t="n"/>
      <c r="C548" s="511" t="n"/>
      <c r="D548" s="511" t="n"/>
      <c r="E548" s="511" t="n"/>
      <c r="F548" s="548" t="n"/>
    </row>
    <row r="549">
      <c r="A549" s="547" t="n"/>
      <c r="B549" s="548" t="n"/>
      <c r="C549" s="511" t="n"/>
      <c r="D549" s="511" t="n"/>
      <c r="E549" s="511" t="n"/>
      <c r="F549" s="548" t="n"/>
    </row>
    <row r="550">
      <c r="A550" s="547" t="n"/>
      <c r="B550" s="548" t="n"/>
      <c r="C550" s="511" t="n"/>
      <c r="D550" s="511" t="n"/>
      <c r="E550" s="511" t="n"/>
      <c r="F550" s="548" t="n"/>
    </row>
    <row r="551">
      <c r="A551" s="547" t="n"/>
      <c r="B551" s="548" t="n"/>
      <c r="C551" s="511" t="n"/>
      <c r="D551" s="511" t="n"/>
      <c r="E551" s="511" t="n"/>
      <c r="F551" s="548" t="n"/>
    </row>
    <row r="552">
      <c r="A552" s="547" t="n"/>
      <c r="B552" s="548" t="n"/>
      <c r="C552" s="511" t="n"/>
      <c r="D552" s="511" t="n"/>
      <c r="E552" s="511" t="n"/>
      <c r="F552" s="548" t="n"/>
    </row>
    <row r="553">
      <c r="A553" s="547" t="n"/>
      <c r="B553" s="548" t="n"/>
      <c r="C553" s="511" t="n"/>
      <c r="D553" s="511" t="n"/>
      <c r="E553" s="511" t="n"/>
      <c r="F553" s="548" t="n"/>
    </row>
    <row r="554">
      <c r="A554" s="547" t="n"/>
      <c r="B554" s="548" t="n"/>
      <c r="C554" s="511" t="n"/>
      <c r="D554" s="511" t="n"/>
      <c r="E554" s="511" t="n"/>
      <c r="F554" s="548" t="n"/>
    </row>
    <row r="555">
      <c r="A555" s="547" t="n"/>
      <c r="B555" s="548" t="n"/>
      <c r="C555" s="511" t="n"/>
      <c r="D555" s="511" t="n"/>
      <c r="E555" s="511" t="n"/>
      <c r="F555" s="548" t="n"/>
    </row>
    <row r="556">
      <c r="A556" s="547" t="n"/>
      <c r="B556" s="548" t="n"/>
      <c r="C556" s="511" t="n"/>
      <c r="D556" s="511" t="n"/>
      <c r="E556" s="511" t="n"/>
      <c r="F556" s="548" t="n"/>
    </row>
    <row r="557">
      <c r="A557" s="547" t="n"/>
      <c r="B557" s="548" t="n"/>
      <c r="C557" s="511" t="n"/>
      <c r="D557" s="511" t="n"/>
      <c r="E557" s="511" t="n"/>
      <c r="F557" s="548" t="n"/>
    </row>
    <row r="558">
      <c r="A558" s="547" t="n"/>
      <c r="B558" s="548" t="n"/>
      <c r="C558" s="511" t="n"/>
      <c r="D558" s="511" t="n"/>
      <c r="E558" s="511" t="n"/>
      <c r="F558" s="548" t="n"/>
    </row>
    <row r="559">
      <c r="A559" s="547" t="n"/>
      <c r="B559" s="548" t="n"/>
      <c r="C559" s="511" t="n"/>
      <c r="D559" s="511" t="n"/>
      <c r="E559" s="511" t="n"/>
      <c r="F559" s="548" t="n"/>
    </row>
    <row r="560">
      <c r="A560" s="547" t="n"/>
      <c r="B560" s="548" t="n"/>
      <c r="C560" s="511" t="n"/>
      <c r="D560" s="511" t="n"/>
      <c r="E560" s="511" t="n"/>
      <c r="F560" s="548" t="n"/>
    </row>
    <row r="561">
      <c r="A561" s="547" t="n"/>
      <c r="B561" s="548" t="n"/>
      <c r="C561" s="511" t="n"/>
      <c r="D561" s="511" t="n"/>
      <c r="E561" s="511" t="n"/>
      <c r="F561" s="548" t="n"/>
    </row>
    <row r="562">
      <c r="A562" s="547" t="n"/>
      <c r="B562" s="548" t="n"/>
      <c r="C562" s="511" t="n"/>
      <c r="D562" s="511" t="n"/>
      <c r="E562" s="511" t="n"/>
      <c r="F562" s="548" t="n"/>
    </row>
    <row r="563">
      <c r="A563" s="547" t="n"/>
      <c r="B563" s="548" t="n"/>
      <c r="C563" s="511" t="n"/>
      <c r="D563" s="511" t="n"/>
      <c r="E563" s="511" t="n"/>
      <c r="F563" s="548" t="n"/>
    </row>
    <row r="564">
      <c r="A564" s="547" t="n"/>
      <c r="B564" s="548" t="n"/>
      <c r="C564" s="511" t="n"/>
      <c r="D564" s="511" t="n"/>
      <c r="E564" s="511" t="n"/>
      <c r="F564" s="548" t="n"/>
    </row>
    <row r="565">
      <c r="A565" s="547" t="n"/>
      <c r="B565" s="548" t="n"/>
      <c r="C565" s="511" t="n"/>
      <c r="D565" s="511" t="n"/>
      <c r="E565" s="511" t="n"/>
      <c r="F565" s="548" t="n"/>
    </row>
    <row r="566">
      <c r="A566" s="547" t="n"/>
      <c r="B566" s="548" t="n"/>
      <c r="C566" s="511" t="n"/>
      <c r="D566" s="511" t="n"/>
      <c r="E566" s="511" t="n"/>
      <c r="F566" s="548" t="n"/>
    </row>
    <row r="567">
      <c r="A567" s="547" t="n"/>
      <c r="B567" s="548" t="n"/>
      <c r="C567" s="511" t="n"/>
      <c r="D567" s="511" t="n"/>
      <c r="E567" s="511" t="n"/>
      <c r="F567" s="548" t="n"/>
    </row>
    <row r="568">
      <c r="A568" s="547" t="n"/>
      <c r="B568" s="548" t="n"/>
      <c r="C568" s="511" t="n"/>
      <c r="D568" s="511" t="n"/>
      <c r="E568" s="511" t="n"/>
      <c r="F568" s="548" t="n"/>
    </row>
    <row r="569">
      <c r="A569" s="547" t="n"/>
      <c r="B569" s="548" t="n"/>
      <c r="C569" s="511" t="n"/>
      <c r="D569" s="511" t="n"/>
      <c r="E569" s="511" t="n"/>
      <c r="F569" s="548" t="n"/>
    </row>
    <row r="570">
      <c r="A570" s="547" t="n"/>
      <c r="B570" s="548" t="n"/>
      <c r="C570" s="511" t="n"/>
      <c r="D570" s="511" t="n"/>
      <c r="E570" s="511" t="n"/>
      <c r="F570" s="548" t="n"/>
    </row>
    <row r="571">
      <c r="A571" s="547" t="n"/>
      <c r="B571" s="548" t="n"/>
      <c r="C571" s="511" t="n"/>
      <c r="D571" s="511" t="n"/>
      <c r="E571" s="511" t="n"/>
      <c r="F571" s="548" t="n"/>
    </row>
    <row r="572">
      <c r="A572" s="547" t="n"/>
      <c r="B572" s="548" t="n"/>
      <c r="C572" s="511" t="n"/>
      <c r="D572" s="511" t="n"/>
      <c r="E572" s="511" t="n"/>
      <c r="F572" s="548" t="n"/>
    </row>
    <row r="573">
      <c r="A573" s="547" t="n"/>
      <c r="B573" s="548" t="n"/>
      <c r="C573" s="511" t="n"/>
      <c r="D573" s="511" t="n"/>
      <c r="E573" s="511" t="n"/>
      <c r="F573" s="548" t="n"/>
    </row>
    <row r="574">
      <c r="A574" s="547" t="n"/>
      <c r="B574" s="548" t="n"/>
      <c r="C574" s="511" t="n"/>
      <c r="D574" s="511" t="n"/>
      <c r="E574" s="511" t="n"/>
      <c r="F574" s="548" t="n"/>
    </row>
    <row r="575">
      <c r="A575" s="547" t="n"/>
      <c r="B575" s="548" t="n"/>
      <c r="C575" s="511" t="n"/>
      <c r="D575" s="511" t="n"/>
      <c r="E575" s="511" t="n"/>
      <c r="F575" s="548" t="n"/>
    </row>
    <row r="576">
      <c r="A576" s="547" t="n"/>
      <c r="B576" s="548" t="n"/>
      <c r="C576" s="511" t="n"/>
      <c r="D576" s="511" t="n"/>
      <c r="E576" s="511" t="n"/>
      <c r="F576" s="548" t="n"/>
    </row>
    <row r="577">
      <c r="A577" s="547" t="n"/>
      <c r="B577" s="548" t="n"/>
      <c r="C577" s="511" t="n"/>
      <c r="D577" s="511" t="n"/>
      <c r="E577" s="511" t="n"/>
      <c r="F577" s="548" t="n"/>
    </row>
    <row r="578">
      <c r="A578" s="547" t="n"/>
      <c r="B578" s="548" t="n"/>
      <c r="C578" s="511" t="n"/>
      <c r="D578" s="511" t="n"/>
      <c r="E578" s="511" t="n"/>
      <c r="F578" s="548" t="n"/>
    </row>
    <row r="579">
      <c r="A579" s="547" t="n"/>
      <c r="B579" s="548" t="n"/>
      <c r="C579" s="511" t="n"/>
      <c r="D579" s="511" t="n"/>
      <c r="E579" s="511" t="n"/>
      <c r="F579" s="548" t="n"/>
    </row>
    <row r="580">
      <c r="A580" s="547" t="n"/>
      <c r="B580" s="548" t="n"/>
      <c r="C580" s="511" t="n"/>
      <c r="D580" s="511" t="n"/>
      <c r="E580" s="511" t="n"/>
      <c r="F580" s="548" t="n"/>
    </row>
    <row r="581">
      <c r="A581" s="547" t="n"/>
      <c r="B581" s="548" t="n"/>
      <c r="C581" s="511" t="n"/>
      <c r="D581" s="511" t="n"/>
      <c r="E581" s="511" t="n"/>
      <c r="F581" s="548" t="n"/>
    </row>
    <row r="582">
      <c r="A582" s="547" t="n"/>
      <c r="B582" s="548" t="n"/>
      <c r="C582" s="511" t="n"/>
      <c r="D582" s="511" t="n"/>
      <c r="E582" s="511" t="n"/>
      <c r="F582" s="548" t="n"/>
    </row>
    <row r="583">
      <c r="A583" s="547" t="n"/>
      <c r="B583" s="548" t="n"/>
      <c r="C583" s="511" t="n"/>
      <c r="D583" s="511" t="n"/>
      <c r="E583" s="511" t="n"/>
      <c r="F583" s="548" t="n"/>
    </row>
    <row r="584">
      <c r="A584" s="547" t="n"/>
      <c r="B584" s="548" t="n"/>
      <c r="C584" s="511" t="n"/>
      <c r="D584" s="511" t="n"/>
      <c r="E584" s="511" t="n"/>
      <c r="F584" s="548" t="n"/>
    </row>
    <row r="585">
      <c r="A585" s="547" t="n"/>
      <c r="B585" s="548" t="n"/>
      <c r="C585" s="511" t="n"/>
      <c r="D585" s="511" t="n"/>
      <c r="E585" s="511" t="n"/>
      <c r="F585" s="548" t="n"/>
    </row>
    <row r="586">
      <c r="A586" s="547" t="n"/>
      <c r="B586" s="548" t="n"/>
      <c r="C586" s="511" t="n"/>
      <c r="D586" s="511" t="n"/>
      <c r="E586" s="511" t="n"/>
      <c r="F586" s="548" t="n"/>
    </row>
    <row r="587">
      <c r="A587" s="547" t="n"/>
      <c r="B587" s="548" t="n"/>
      <c r="C587" s="511" t="n"/>
      <c r="D587" s="511" t="n"/>
      <c r="E587" s="511" t="n"/>
      <c r="F587" s="548" t="n"/>
    </row>
    <row r="588">
      <c r="A588" s="547" t="n"/>
      <c r="B588" s="548" t="n"/>
      <c r="C588" s="511" t="n"/>
      <c r="D588" s="511" t="n"/>
      <c r="E588" s="511" t="n"/>
      <c r="F588" s="548" t="n"/>
    </row>
    <row r="589">
      <c r="A589" s="547" t="n"/>
      <c r="B589" s="548" t="n"/>
      <c r="C589" s="511" t="n"/>
      <c r="D589" s="511" t="n"/>
      <c r="E589" s="511" t="n"/>
      <c r="F589" s="548" t="n"/>
    </row>
    <row r="590">
      <c r="A590" s="547" t="n"/>
      <c r="B590" s="548" t="n"/>
      <c r="C590" s="511" t="n"/>
      <c r="D590" s="511" t="n"/>
      <c r="E590" s="511" t="n"/>
      <c r="F590" s="548" t="n"/>
    </row>
    <row r="591">
      <c r="A591" s="547" t="n"/>
      <c r="B591" s="548" t="n"/>
      <c r="C591" s="511" t="n"/>
      <c r="D591" s="511" t="n"/>
      <c r="E591" s="511" t="n"/>
      <c r="F591" s="548" t="n"/>
    </row>
    <row r="592">
      <c r="A592" s="547" t="n"/>
      <c r="B592" s="548" t="n"/>
      <c r="C592" s="511" t="n"/>
      <c r="D592" s="511" t="n"/>
      <c r="E592" s="511" t="n"/>
      <c r="F592" s="548" t="n"/>
    </row>
    <row r="593">
      <c r="A593" s="547" t="n"/>
      <c r="B593" s="548" t="n"/>
      <c r="C593" s="511" t="n"/>
      <c r="D593" s="511" t="n"/>
      <c r="E593" s="511" t="n"/>
      <c r="F593" s="548" t="n"/>
    </row>
    <row r="594">
      <c r="A594" s="547" t="n"/>
      <c r="B594" s="548" t="n"/>
      <c r="C594" s="511" t="n"/>
      <c r="D594" s="511" t="n"/>
      <c r="E594" s="511" t="n"/>
      <c r="F594" s="548" t="n"/>
    </row>
    <row r="595">
      <c r="A595" s="547" t="n"/>
      <c r="B595" s="548" t="n"/>
      <c r="C595" s="511" t="n"/>
      <c r="D595" s="511" t="n"/>
      <c r="E595" s="511" t="n"/>
      <c r="F595" s="548" t="n"/>
    </row>
    <row r="596">
      <c r="A596" s="547" t="n"/>
      <c r="B596" s="548" t="n"/>
      <c r="C596" s="511" t="n"/>
      <c r="D596" s="511" t="n"/>
      <c r="E596" s="511" t="n"/>
      <c r="F596" s="548" t="n"/>
    </row>
    <row r="597">
      <c r="A597" s="547" t="n"/>
      <c r="B597" s="548" t="n"/>
      <c r="C597" s="511" t="n"/>
      <c r="D597" s="511" t="n"/>
      <c r="E597" s="511" t="n"/>
      <c r="F597" s="548" t="n"/>
    </row>
    <row r="598">
      <c r="A598" s="547" t="n"/>
      <c r="B598" s="548" t="n"/>
      <c r="C598" s="511" t="n"/>
      <c r="D598" s="511" t="n"/>
      <c r="E598" s="511" t="n"/>
      <c r="F598" s="548" t="n"/>
    </row>
    <row r="599">
      <c r="A599" s="547" t="n"/>
      <c r="B599" s="548" t="n"/>
      <c r="C599" s="511" t="n"/>
      <c r="D599" s="511" t="n"/>
      <c r="E599" s="511" t="n"/>
      <c r="F599" s="548" t="n"/>
    </row>
    <row r="600">
      <c r="A600" s="547" t="n"/>
      <c r="B600" s="548" t="n"/>
      <c r="C600" s="511" t="n"/>
      <c r="D600" s="511" t="n"/>
      <c r="E600" s="511" t="n"/>
      <c r="F600" s="548" t="n"/>
    </row>
    <row r="601">
      <c r="A601" s="547" t="n"/>
      <c r="B601" s="548" t="n"/>
      <c r="C601" s="511" t="n"/>
      <c r="D601" s="511" t="n"/>
      <c r="E601" s="511" t="n"/>
      <c r="F601" s="548" t="n"/>
    </row>
    <row r="602">
      <c r="A602" s="547" t="n"/>
      <c r="B602" s="548" t="n"/>
      <c r="C602" s="511" t="n"/>
      <c r="D602" s="511" t="n"/>
      <c r="E602" s="511" t="n"/>
      <c r="F602" s="548" t="n"/>
    </row>
    <row r="603">
      <c r="A603" s="547" t="n"/>
      <c r="B603" s="548" t="n"/>
      <c r="C603" s="511" t="n"/>
      <c r="D603" s="511" t="n"/>
      <c r="E603" s="511" t="n"/>
      <c r="F603" s="548" t="n"/>
    </row>
    <row r="604">
      <c r="A604" s="547" t="n"/>
      <c r="B604" s="548" t="n"/>
      <c r="C604" s="511" t="n"/>
      <c r="D604" s="511" t="n"/>
      <c r="E604" s="511" t="n"/>
      <c r="F604" s="548" t="n"/>
    </row>
    <row r="605">
      <c r="A605" s="547" t="n"/>
      <c r="B605" s="548" t="n"/>
      <c r="C605" s="511" t="n"/>
      <c r="D605" s="511" t="n"/>
      <c r="E605" s="511" t="n"/>
      <c r="F605" s="548" t="n"/>
    </row>
    <row r="606">
      <c r="A606" s="547" t="n"/>
      <c r="B606" s="548" t="n"/>
      <c r="C606" s="511" t="n"/>
      <c r="D606" s="511" t="n"/>
      <c r="E606" s="511" t="n"/>
      <c r="F606" s="548" t="n"/>
    </row>
    <row r="607">
      <c r="A607" s="547" t="n"/>
      <c r="B607" s="548" t="n"/>
      <c r="C607" s="511" t="n"/>
      <c r="D607" s="511" t="n"/>
      <c r="E607" s="511" t="n"/>
      <c r="F607" s="548" t="n"/>
    </row>
    <row r="608">
      <c r="A608" s="547" t="n"/>
      <c r="B608" s="548" t="n"/>
      <c r="C608" s="511" t="n"/>
      <c r="D608" s="511" t="n"/>
      <c r="E608" s="511" t="n"/>
      <c r="F608" s="548" t="n"/>
    </row>
    <row r="609">
      <c r="A609" s="547" t="n"/>
      <c r="B609" s="548" t="n"/>
      <c r="C609" s="511" t="n"/>
      <c r="D609" s="511" t="n"/>
      <c r="E609" s="511" t="n"/>
      <c r="F609" s="548" t="n"/>
    </row>
    <row r="610">
      <c r="A610" s="547" t="n"/>
      <c r="B610" s="548" t="n"/>
      <c r="C610" s="511" t="n"/>
      <c r="D610" s="511" t="n"/>
      <c r="E610" s="511" t="n"/>
      <c r="F610" s="548" t="n"/>
    </row>
    <row r="611">
      <c r="A611" s="547" t="n"/>
      <c r="B611" s="548" t="n"/>
      <c r="C611" s="511" t="n"/>
      <c r="D611" s="511" t="n"/>
      <c r="E611" s="511" t="n"/>
      <c r="F611" s="548" t="n"/>
    </row>
    <row r="612">
      <c r="A612" s="547" t="n"/>
      <c r="B612" s="548" t="n"/>
      <c r="C612" s="511" t="n"/>
      <c r="D612" s="511" t="n"/>
      <c r="E612" s="511" t="n"/>
      <c r="F612" s="548" t="n"/>
    </row>
    <row r="613">
      <c r="A613" s="547" t="n"/>
      <c r="B613" s="548" t="n"/>
      <c r="C613" s="511" t="n"/>
      <c r="D613" s="511" t="n"/>
      <c r="E613" s="511" t="n"/>
      <c r="F613" s="548" t="n"/>
    </row>
    <row r="614">
      <c r="A614" s="547" t="n"/>
      <c r="B614" s="548" t="n"/>
      <c r="C614" s="511" t="n"/>
      <c r="D614" s="511" t="n"/>
      <c r="E614" s="511" t="n"/>
      <c r="F614" s="548" t="n"/>
    </row>
    <row r="615">
      <c r="A615" s="547" t="n"/>
      <c r="B615" s="548" t="n"/>
      <c r="C615" s="511" t="n"/>
      <c r="D615" s="511" t="n"/>
      <c r="E615" s="511" t="n"/>
      <c r="F615" s="548" t="n"/>
    </row>
    <row r="616">
      <c r="A616" s="547" t="n"/>
      <c r="B616" s="548" t="n"/>
      <c r="C616" s="511" t="n"/>
      <c r="D616" s="511" t="n"/>
      <c r="E616" s="511" t="n"/>
      <c r="F616" s="548" t="n"/>
    </row>
    <row r="617">
      <c r="A617" s="547" t="n"/>
      <c r="B617" s="548" t="n"/>
      <c r="C617" s="511" t="n"/>
      <c r="D617" s="511" t="n"/>
      <c r="E617" s="511" t="n"/>
      <c r="F617" s="548" t="n"/>
    </row>
    <row r="618">
      <c r="A618" s="547" t="n"/>
      <c r="B618" s="548" t="n"/>
      <c r="C618" s="511" t="n"/>
      <c r="D618" s="511" t="n"/>
      <c r="E618" s="511" t="n"/>
      <c r="F618" s="548" t="n"/>
    </row>
    <row r="619">
      <c r="A619" s="547" t="n"/>
      <c r="B619" s="548" t="n"/>
      <c r="C619" s="511" t="n"/>
      <c r="D619" s="511" t="n"/>
      <c r="E619" s="511" t="n"/>
      <c r="F619" s="548" t="n"/>
    </row>
    <row r="620">
      <c r="A620" s="547" t="n"/>
      <c r="B620" s="548" t="n"/>
      <c r="C620" s="511" t="n"/>
      <c r="D620" s="511" t="n"/>
      <c r="E620" s="511" t="n"/>
      <c r="F620" s="548" t="n"/>
    </row>
    <row r="621">
      <c r="A621" s="547" t="n"/>
      <c r="B621" s="548" t="n"/>
      <c r="C621" s="511" t="n"/>
      <c r="D621" s="511" t="n"/>
      <c r="E621" s="511" t="n"/>
      <c r="F621" s="548" t="n"/>
    </row>
    <row r="622">
      <c r="A622" s="547" t="n"/>
      <c r="B622" s="548" t="n"/>
      <c r="C622" s="511" t="n"/>
      <c r="D622" s="511" t="n"/>
      <c r="E622" s="511" t="n"/>
      <c r="F622" s="548" t="n"/>
    </row>
    <row r="623">
      <c r="A623" s="547" t="n"/>
      <c r="B623" s="548" t="n"/>
      <c r="C623" s="511" t="n"/>
      <c r="D623" s="511" t="n"/>
      <c r="E623" s="511" t="n"/>
      <c r="F623" s="548" t="n"/>
    </row>
    <row r="624">
      <c r="A624" s="547" t="n"/>
      <c r="B624" s="548" t="n"/>
      <c r="C624" s="511" t="n"/>
      <c r="D624" s="511" t="n"/>
      <c r="E624" s="511" t="n"/>
      <c r="F624" s="548" t="n"/>
    </row>
    <row r="625">
      <c r="A625" s="547" t="n"/>
      <c r="B625" s="548" t="n"/>
      <c r="C625" s="511" t="n"/>
      <c r="D625" s="511" t="n"/>
      <c r="E625" s="511" t="n"/>
      <c r="F625" s="548" t="n"/>
    </row>
    <row r="626">
      <c r="A626" s="547" t="n"/>
      <c r="B626" s="548" t="n"/>
      <c r="C626" s="511" t="n"/>
      <c r="D626" s="511" t="n"/>
      <c r="E626" s="511" t="n"/>
      <c r="F626" s="548" t="n"/>
    </row>
    <row r="627">
      <c r="A627" s="547" t="n"/>
      <c r="B627" s="548" t="n"/>
      <c r="C627" s="511" t="n"/>
      <c r="D627" s="511" t="n"/>
      <c r="E627" s="511" t="n"/>
      <c r="F627" s="548" t="n"/>
    </row>
    <row r="628">
      <c r="A628" s="547" t="n"/>
      <c r="B628" s="548" t="n"/>
      <c r="C628" s="511" t="n"/>
      <c r="D628" s="511" t="n"/>
      <c r="E628" s="511" t="n"/>
      <c r="F628" s="548" t="n"/>
    </row>
    <row r="629">
      <c r="A629" s="547" t="n"/>
      <c r="B629" s="548" t="n"/>
      <c r="C629" s="511" t="n"/>
      <c r="D629" s="511" t="n"/>
      <c r="E629" s="511" t="n"/>
      <c r="F629" s="548" t="n"/>
    </row>
    <row r="630">
      <c r="A630" s="547" t="n"/>
      <c r="B630" s="548" t="n"/>
      <c r="C630" s="511" t="n"/>
      <c r="D630" s="511" t="n"/>
      <c r="E630" s="511" t="n"/>
      <c r="F630" s="548" t="n"/>
    </row>
    <row r="631">
      <c r="A631" s="547" t="n"/>
      <c r="B631" s="548" t="n"/>
      <c r="C631" s="511" t="n"/>
      <c r="D631" s="511" t="n"/>
      <c r="E631" s="511" t="n"/>
      <c r="F631" s="548" t="n"/>
    </row>
    <row r="632">
      <c r="A632" s="547" t="n"/>
      <c r="B632" s="548" t="n"/>
      <c r="C632" s="511" t="n"/>
      <c r="D632" s="511" t="n"/>
      <c r="E632" s="511" t="n"/>
      <c r="F632" s="548" t="n"/>
    </row>
    <row r="633">
      <c r="A633" s="547" t="n"/>
      <c r="B633" s="548" t="n"/>
      <c r="C633" s="511" t="n"/>
      <c r="D633" s="511" t="n"/>
      <c r="E633" s="511" t="n"/>
      <c r="F633" s="548" t="n"/>
    </row>
    <row r="634">
      <c r="A634" s="547" t="n"/>
      <c r="B634" s="548" t="n"/>
      <c r="C634" s="511" t="n"/>
      <c r="D634" s="511" t="n"/>
      <c r="E634" s="511" t="n"/>
      <c r="F634" s="548" t="n"/>
    </row>
    <row r="635">
      <c r="A635" s="547" t="n"/>
      <c r="B635" s="548" t="n"/>
      <c r="C635" s="511" t="n"/>
      <c r="D635" s="511" t="n"/>
      <c r="E635" s="511" t="n"/>
      <c r="F635" s="548" t="n"/>
    </row>
    <row r="636">
      <c r="A636" s="547" t="n"/>
      <c r="B636" s="548" t="n"/>
      <c r="C636" s="511" t="n"/>
      <c r="D636" s="511" t="n"/>
      <c r="E636" s="511" t="n"/>
      <c r="F636" s="548" t="n"/>
    </row>
    <row r="637">
      <c r="A637" s="547" t="n"/>
      <c r="B637" s="548" t="n"/>
      <c r="C637" s="511" t="n"/>
      <c r="D637" s="511" t="n"/>
      <c r="E637" s="511" t="n"/>
      <c r="F637" s="548" t="n"/>
    </row>
    <row r="638">
      <c r="A638" s="547" t="n"/>
      <c r="B638" s="548" t="n"/>
      <c r="C638" s="511" t="n"/>
      <c r="D638" s="511" t="n"/>
      <c r="E638" s="511" t="n"/>
      <c r="F638" s="548" t="n"/>
    </row>
    <row r="639">
      <c r="A639" s="547" t="n"/>
      <c r="B639" s="548" t="n"/>
      <c r="C639" s="511" t="n"/>
      <c r="D639" s="511" t="n"/>
      <c r="E639" s="511" t="n"/>
      <c r="F639" s="548" t="n"/>
    </row>
    <row r="640">
      <c r="A640" s="547" t="n"/>
      <c r="B640" s="548" t="n"/>
      <c r="C640" s="511" t="n"/>
      <c r="D640" s="511" t="n"/>
      <c r="E640" s="511" t="n"/>
      <c r="F640" s="548" t="n"/>
    </row>
    <row r="641">
      <c r="A641" s="547" t="n"/>
      <c r="B641" s="548" t="n"/>
      <c r="C641" s="511" t="n"/>
      <c r="D641" s="511" t="n"/>
      <c r="E641" s="511" t="n"/>
      <c r="F641" s="548" t="n"/>
    </row>
    <row r="642">
      <c r="A642" s="547" t="n"/>
      <c r="B642" s="548" t="n"/>
      <c r="C642" s="511" t="n"/>
      <c r="D642" s="511" t="n"/>
      <c r="E642" s="511" t="n"/>
      <c r="F642" s="548" t="n"/>
    </row>
    <row r="643">
      <c r="A643" s="547" t="n"/>
      <c r="B643" s="548" t="n"/>
      <c r="C643" s="511" t="n"/>
      <c r="D643" s="511" t="n"/>
      <c r="E643" s="511" t="n"/>
      <c r="F643" s="548" t="n"/>
    </row>
    <row r="644">
      <c r="A644" s="547" t="n"/>
      <c r="B644" s="548" t="n"/>
      <c r="C644" s="511" t="n"/>
      <c r="D644" s="511" t="n"/>
      <c r="E644" s="511" t="n"/>
      <c r="F644" s="548" t="n"/>
    </row>
    <row r="645">
      <c r="A645" s="547" t="n"/>
      <c r="B645" s="548" t="n"/>
      <c r="C645" s="511" t="n"/>
      <c r="D645" s="511" t="n"/>
      <c r="E645" s="511" t="n"/>
      <c r="F645" s="548" t="n"/>
    </row>
    <row r="646">
      <c r="A646" s="547" t="n"/>
      <c r="B646" s="548" t="n"/>
      <c r="C646" s="511" t="n"/>
      <c r="D646" s="511" t="n"/>
      <c r="E646" s="511" t="n"/>
      <c r="F646" s="548" t="n"/>
    </row>
    <row r="647">
      <c r="A647" s="547" t="n"/>
      <c r="B647" s="548" t="n"/>
      <c r="C647" s="511" t="n"/>
      <c r="D647" s="511" t="n"/>
      <c r="E647" s="511" t="n"/>
      <c r="F647" s="548" t="n"/>
    </row>
    <row r="648">
      <c r="A648" s="547" t="n"/>
      <c r="B648" s="548" t="n"/>
      <c r="C648" s="511" t="n"/>
      <c r="D648" s="511" t="n"/>
      <c r="E648" s="511" t="n"/>
      <c r="F648" s="548" t="n"/>
    </row>
    <row r="649">
      <c r="A649" s="547" t="n"/>
      <c r="B649" s="548" t="n"/>
      <c r="C649" s="511" t="n"/>
      <c r="D649" s="511" t="n"/>
      <c r="E649" s="511" t="n"/>
      <c r="F649" s="548" t="n"/>
    </row>
    <row r="650">
      <c r="A650" s="547" t="n"/>
      <c r="B650" s="548" t="n"/>
      <c r="C650" s="511" t="n"/>
      <c r="D650" s="511" t="n"/>
      <c r="E650" s="511" t="n"/>
      <c r="F650" s="548" t="n"/>
    </row>
    <row r="651">
      <c r="A651" s="547" t="n"/>
      <c r="B651" s="548" t="n"/>
      <c r="C651" s="511" t="n"/>
      <c r="D651" s="511" t="n"/>
      <c r="E651" s="511" t="n"/>
      <c r="F651" s="548" t="n"/>
    </row>
    <row r="652">
      <c r="A652" s="547" t="n"/>
      <c r="B652" s="548" t="n"/>
      <c r="C652" s="511" t="n"/>
      <c r="D652" s="511" t="n"/>
      <c r="E652" s="511" t="n"/>
      <c r="F652" s="548" t="n"/>
    </row>
    <row r="653">
      <c r="A653" s="547" t="n"/>
      <c r="B653" s="548" t="n"/>
      <c r="C653" s="511" t="n"/>
      <c r="D653" s="511" t="n"/>
      <c r="E653" s="511" t="n"/>
      <c r="F653" s="548" t="n"/>
    </row>
    <row r="654">
      <c r="A654" s="547" t="n"/>
      <c r="B654" s="548" t="n"/>
      <c r="C654" s="511" t="n"/>
      <c r="D654" s="511" t="n"/>
      <c r="E654" s="511" t="n"/>
      <c r="F654" s="548" t="n"/>
    </row>
    <row r="655">
      <c r="A655" s="547" t="n"/>
      <c r="B655" s="548" t="n"/>
      <c r="C655" s="511" t="n"/>
      <c r="D655" s="511" t="n"/>
      <c r="E655" s="511" t="n"/>
      <c r="F655" s="548" t="n"/>
    </row>
    <row r="656">
      <c r="A656" s="547" t="n"/>
      <c r="B656" s="548" t="n"/>
      <c r="C656" s="511" t="n"/>
      <c r="D656" s="511" t="n"/>
      <c r="E656" s="511" t="n"/>
      <c r="F656" s="548" t="n"/>
    </row>
    <row r="657">
      <c r="A657" s="547" t="n"/>
      <c r="B657" s="548" t="n"/>
      <c r="C657" s="511" t="n"/>
      <c r="D657" s="511" t="n"/>
      <c r="E657" s="511" t="n"/>
      <c r="F657" s="548" t="n"/>
    </row>
    <row r="658">
      <c r="A658" s="547" t="n"/>
      <c r="B658" s="548" t="n"/>
      <c r="C658" s="511" t="n"/>
      <c r="D658" s="511" t="n"/>
      <c r="E658" s="511" t="n"/>
      <c r="F658" s="548" t="n"/>
    </row>
    <row r="659">
      <c r="A659" s="547" t="n"/>
      <c r="B659" s="548" t="n"/>
      <c r="C659" s="511" t="n"/>
      <c r="D659" s="511" t="n"/>
      <c r="E659" s="511" t="n"/>
      <c r="F659" s="548" t="n"/>
    </row>
    <row r="660">
      <c r="A660" s="547" t="n"/>
      <c r="B660" s="548" t="n"/>
      <c r="C660" s="511" t="n"/>
      <c r="D660" s="511" t="n"/>
      <c r="E660" s="511" t="n"/>
      <c r="F660" s="548" t="n"/>
    </row>
    <row r="661">
      <c r="A661" s="547" t="n"/>
      <c r="B661" s="548" t="n"/>
      <c r="C661" s="511" t="n"/>
      <c r="D661" s="511" t="n"/>
      <c r="E661" s="511" t="n"/>
      <c r="F661" s="548" t="n"/>
    </row>
    <row r="662">
      <c r="A662" s="547" t="n"/>
      <c r="B662" s="548" t="n"/>
      <c r="C662" s="511" t="n"/>
      <c r="D662" s="511" t="n"/>
      <c r="E662" s="511" t="n"/>
      <c r="F662" s="548" t="n"/>
    </row>
    <row r="663">
      <c r="A663" s="547" t="n"/>
      <c r="B663" s="548" t="n"/>
      <c r="C663" s="511" t="n"/>
      <c r="D663" s="511" t="n"/>
      <c r="E663" s="511" t="n"/>
      <c r="F663" s="548" t="n"/>
    </row>
    <row r="664">
      <c r="A664" s="547" t="n"/>
      <c r="B664" s="548" t="n"/>
      <c r="C664" s="511" t="n"/>
      <c r="D664" s="511" t="n"/>
      <c r="E664" s="511" t="n"/>
      <c r="F664" s="548" t="n"/>
    </row>
    <row r="665">
      <c r="A665" s="547" t="n"/>
      <c r="B665" s="548" t="n"/>
      <c r="C665" s="511" t="n"/>
      <c r="D665" s="511" t="n"/>
      <c r="E665" s="511" t="n"/>
      <c r="F665" s="548" t="n"/>
    </row>
    <row r="666">
      <c r="A666" s="547" t="n"/>
      <c r="B666" s="548" t="n"/>
      <c r="C666" s="511" t="n"/>
      <c r="D666" s="511" t="n"/>
      <c r="E666" s="511" t="n"/>
      <c r="F666" s="548" t="n"/>
    </row>
    <row r="667">
      <c r="A667" s="547" t="n"/>
      <c r="B667" s="548" t="n"/>
      <c r="C667" s="511" t="n"/>
      <c r="D667" s="511" t="n"/>
      <c r="E667" s="511" t="n"/>
      <c r="F667" s="548" t="n"/>
    </row>
    <row r="668">
      <c r="A668" s="547" t="n"/>
      <c r="B668" s="548" t="n"/>
      <c r="C668" s="511" t="n"/>
      <c r="D668" s="511" t="n"/>
      <c r="E668" s="511" t="n"/>
      <c r="F668" s="548" t="n"/>
    </row>
    <row r="669">
      <c r="A669" s="547" t="n"/>
      <c r="B669" s="548" t="n"/>
      <c r="C669" s="511" t="n"/>
      <c r="D669" s="511" t="n"/>
      <c r="E669" s="511" t="n"/>
      <c r="F669" s="548" t="n"/>
    </row>
    <row r="670">
      <c r="A670" s="547" t="n"/>
      <c r="B670" s="548" t="n"/>
      <c r="C670" s="511" t="n"/>
      <c r="D670" s="511" t="n"/>
      <c r="E670" s="511" t="n"/>
      <c r="F670" s="548" t="n"/>
    </row>
    <row r="671">
      <c r="A671" s="547" t="n"/>
      <c r="B671" s="548" t="n"/>
      <c r="C671" s="511" t="n"/>
      <c r="D671" s="511" t="n"/>
      <c r="E671" s="511" t="n"/>
      <c r="F671" s="548" t="n"/>
    </row>
    <row r="672">
      <c r="A672" s="547" t="n"/>
      <c r="B672" s="548" t="n"/>
      <c r="C672" s="511" t="n"/>
      <c r="D672" s="511" t="n"/>
      <c r="E672" s="511" t="n"/>
      <c r="F672" s="548" t="n"/>
    </row>
    <row r="673">
      <c r="A673" s="547" t="n"/>
      <c r="B673" s="548" t="n"/>
      <c r="C673" s="511" t="n"/>
      <c r="D673" s="511" t="n"/>
      <c r="E673" s="511" t="n"/>
      <c r="F673" s="548" t="n"/>
    </row>
    <row r="674">
      <c r="A674" s="547" t="n"/>
      <c r="B674" s="548" t="n"/>
      <c r="C674" s="511" t="n"/>
      <c r="D674" s="511" t="n"/>
      <c r="E674" s="511" t="n"/>
      <c r="F674" s="548" t="n"/>
    </row>
    <row r="675">
      <c r="A675" s="547" t="n"/>
      <c r="B675" s="548" t="n"/>
      <c r="C675" s="511" t="n"/>
      <c r="D675" s="511" t="n"/>
      <c r="E675" s="511" t="n"/>
      <c r="F675" s="548" t="n"/>
    </row>
    <row r="676">
      <c r="A676" s="547" t="n"/>
      <c r="B676" s="548" t="n"/>
      <c r="C676" s="511" t="n"/>
      <c r="D676" s="511" t="n"/>
      <c r="E676" s="511" t="n"/>
      <c r="F676" s="548" t="n"/>
    </row>
    <row r="677">
      <c r="A677" s="547" t="n"/>
      <c r="B677" s="548" t="n"/>
      <c r="C677" s="511" t="n"/>
      <c r="D677" s="511" t="n"/>
      <c r="E677" s="511" t="n"/>
      <c r="F677" s="548" t="n"/>
    </row>
    <row r="678">
      <c r="A678" s="547" t="n"/>
      <c r="B678" s="548" t="n"/>
      <c r="C678" s="511" t="n"/>
      <c r="D678" s="511" t="n"/>
      <c r="E678" s="511" t="n"/>
      <c r="F678" s="548" t="n"/>
    </row>
    <row r="679">
      <c r="A679" s="547" t="n"/>
      <c r="B679" s="548" t="n"/>
      <c r="C679" s="511" t="n"/>
      <c r="D679" s="511" t="n"/>
      <c r="E679" s="511" t="n"/>
      <c r="F679" s="548" t="n"/>
    </row>
    <row r="680">
      <c r="A680" s="547" t="n"/>
      <c r="B680" s="548" t="n"/>
      <c r="C680" s="511" t="n"/>
      <c r="D680" s="511" t="n"/>
      <c r="E680" s="511" t="n"/>
      <c r="F680" s="548" t="n"/>
    </row>
    <row r="681">
      <c r="A681" s="547" t="n"/>
      <c r="B681" s="548" t="n"/>
      <c r="C681" s="511" t="n"/>
      <c r="D681" s="511" t="n"/>
      <c r="E681" s="511" t="n"/>
      <c r="F681" s="548" t="n"/>
    </row>
    <row r="682">
      <c r="A682" s="547" t="n"/>
      <c r="B682" s="548" t="n"/>
      <c r="C682" s="511" t="n"/>
      <c r="D682" s="511" t="n"/>
      <c r="E682" s="511" t="n"/>
      <c r="F682" s="548" t="n"/>
    </row>
    <row r="683">
      <c r="A683" s="547" t="n"/>
      <c r="B683" s="548" t="n"/>
      <c r="C683" s="511" t="n"/>
      <c r="D683" s="511" t="n"/>
      <c r="E683" s="511" t="n"/>
      <c r="F683" s="548" t="n"/>
    </row>
    <row r="684">
      <c r="A684" s="547" t="n"/>
      <c r="B684" s="548" t="n"/>
      <c r="C684" s="511" t="n"/>
      <c r="D684" s="511" t="n"/>
      <c r="E684" s="511" t="n"/>
      <c r="F684" s="548" t="n"/>
    </row>
    <row r="685">
      <c r="A685" s="547" t="n"/>
      <c r="B685" s="548" t="n"/>
      <c r="C685" s="511" t="n"/>
      <c r="D685" s="511" t="n"/>
      <c r="E685" s="511" t="n"/>
      <c r="F685" s="548" t="n"/>
    </row>
    <row r="686">
      <c r="A686" s="547" t="n"/>
      <c r="B686" s="548" t="n"/>
      <c r="C686" s="511" t="n"/>
      <c r="D686" s="511" t="n"/>
      <c r="E686" s="511" t="n"/>
      <c r="F686" s="548" t="n"/>
    </row>
    <row r="687">
      <c r="A687" s="547" t="n"/>
      <c r="B687" s="548" t="n"/>
      <c r="C687" s="511" t="n"/>
      <c r="D687" s="511" t="n"/>
      <c r="E687" s="511" t="n"/>
      <c r="F687" s="548" t="n"/>
    </row>
    <row r="688">
      <c r="A688" s="547" t="n"/>
      <c r="B688" s="548" t="n"/>
      <c r="C688" s="511" t="n"/>
      <c r="D688" s="511" t="n"/>
      <c r="E688" s="511" t="n"/>
      <c r="F688" s="548" t="n"/>
    </row>
    <row r="689">
      <c r="A689" s="547" t="n"/>
      <c r="B689" s="548" t="n"/>
      <c r="C689" s="511" t="n"/>
      <c r="D689" s="511" t="n"/>
      <c r="E689" s="511" t="n"/>
      <c r="F689" s="548" t="n"/>
    </row>
    <row r="690">
      <c r="A690" s="547" t="n"/>
      <c r="B690" s="548" t="n"/>
      <c r="C690" s="511" t="n"/>
      <c r="D690" s="511" t="n"/>
      <c r="E690" s="511" t="n"/>
      <c r="F690" s="548" t="n"/>
    </row>
    <row r="691">
      <c r="A691" s="547" t="n"/>
      <c r="B691" s="548" t="n"/>
      <c r="C691" s="511" t="n"/>
      <c r="D691" s="511" t="n"/>
      <c r="E691" s="511" t="n"/>
      <c r="F691" s="548" t="n"/>
    </row>
    <row r="692">
      <c r="A692" s="547" t="n"/>
      <c r="B692" s="548" t="n"/>
      <c r="C692" s="511" t="n"/>
      <c r="D692" s="511" t="n"/>
      <c r="E692" s="511" t="n"/>
      <c r="F692" s="548" t="n"/>
    </row>
    <row r="693">
      <c r="A693" s="547" t="n"/>
      <c r="B693" s="548" t="n"/>
      <c r="C693" s="511" t="n"/>
      <c r="D693" s="511" t="n"/>
      <c r="E693" s="511" t="n"/>
      <c r="F693" s="548" t="n"/>
    </row>
    <row r="694">
      <c r="A694" s="547" t="n"/>
      <c r="B694" s="548" t="n"/>
      <c r="C694" s="511" t="n"/>
      <c r="D694" s="511" t="n"/>
      <c r="E694" s="511" t="n"/>
      <c r="F694" s="548" t="n"/>
    </row>
    <row r="695">
      <c r="A695" s="547" t="n"/>
      <c r="B695" s="548" t="n"/>
      <c r="C695" s="511" t="n"/>
      <c r="D695" s="511" t="n"/>
      <c r="E695" s="511" t="n"/>
      <c r="F695" s="548" t="n"/>
    </row>
    <row r="696">
      <c r="A696" s="547" t="n"/>
      <c r="B696" s="548" t="n"/>
      <c r="C696" s="511" t="n"/>
      <c r="D696" s="511" t="n"/>
      <c r="E696" s="511" t="n"/>
      <c r="F696" s="548" t="n"/>
    </row>
    <row r="697">
      <c r="A697" s="547" t="n"/>
      <c r="B697" s="548" t="n"/>
      <c r="C697" s="511" t="n"/>
      <c r="D697" s="511" t="n"/>
      <c r="E697" s="511" t="n"/>
      <c r="F697" s="548" t="n"/>
    </row>
    <row r="698">
      <c r="A698" s="547" t="n"/>
      <c r="B698" s="548" t="n"/>
      <c r="C698" s="511" t="n"/>
      <c r="D698" s="511" t="n"/>
      <c r="E698" s="511" t="n"/>
      <c r="F698" s="548" t="n"/>
    </row>
    <row r="699">
      <c r="A699" s="547" t="n"/>
      <c r="B699" s="548" t="n"/>
      <c r="C699" s="511" t="n"/>
      <c r="D699" s="511" t="n"/>
      <c r="E699" s="511" t="n"/>
      <c r="F699" s="548" t="n"/>
    </row>
    <row r="700">
      <c r="A700" s="547" t="n"/>
      <c r="B700" s="548" t="n"/>
      <c r="C700" s="511" t="n"/>
      <c r="D700" s="511" t="n"/>
      <c r="E700" s="511" t="n"/>
      <c r="F700" s="548" t="n"/>
    </row>
    <row r="701">
      <c r="A701" s="547" t="n"/>
      <c r="B701" s="548" t="n"/>
      <c r="C701" s="511" t="n"/>
      <c r="D701" s="511" t="n"/>
      <c r="E701" s="511" t="n"/>
      <c r="F701" s="548" t="n"/>
    </row>
    <row r="702">
      <c r="A702" s="547" t="n"/>
      <c r="B702" s="548" t="n"/>
      <c r="C702" s="511" t="n"/>
      <c r="D702" s="511" t="n"/>
      <c r="E702" s="511" t="n"/>
      <c r="F702" s="548" t="n"/>
    </row>
    <row r="703">
      <c r="A703" s="547" t="n"/>
      <c r="B703" s="548" t="n"/>
      <c r="C703" s="511" t="n"/>
      <c r="D703" s="511" t="n"/>
      <c r="E703" s="511" t="n"/>
      <c r="F703" s="548" t="n"/>
    </row>
    <row r="704">
      <c r="A704" s="547" t="n"/>
      <c r="B704" s="548" t="n"/>
      <c r="C704" s="511" t="n"/>
      <c r="D704" s="511" t="n"/>
      <c r="E704" s="511" t="n"/>
      <c r="F704" s="548" t="n"/>
    </row>
    <row r="705">
      <c r="A705" s="547" t="n"/>
      <c r="B705" s="548" t="n"/>
      <c r="C705" s="511" t="n"/>
      <c r="D705" s="511" t="n"/>
      <c r="E705" s="511" t="n"/>
      <c r="F705" s="548" t="n"/>
    </row>
    <row r="706">
      <c r="A706" s="547" t="n"/>
      <c r="B706" s="548" t="n"/>
      <c r="C706" s="511" t="n"/>
      <c r="D706" s="511" t="n"/>
      <c r="E706" s="511" t="n"/>
      <c r="F706" s="548" t="n"/>
    </row>
    <row r="707">
      <c r="A707" s="547" t="n"/>
      <c r="B707" s="548" t="n"/>
      <c r="C707" s="511" t="n"/>
      <c r="D707" s="511" t="n"/>
      <c r="E707" s="511" t="n"/>
      <c r="F707" s="548" t="n"/>
    </row>
    <row r="708">
      <c r="A708" s="547" t="n"/>
      <c r="B708" s="548" t="n"/>
      <c r="C708" s="511" t="n"/>
      <c r="D708" s="511" t="n"/>
      <c r="E708" s="511" t="n"/>
      <c r="F708" s="548" t="n"/>
    </row>
    <row r="709">
      <c r="A709" s="547" t="n"/>
      <c r="B709" s="548" t="n"/>
      <c r="C709" s="511" t="n"/>
      <c r="D709" s="511" t="n"/>
      <c r="E709" s="511" t="n"/>
      <c r="F709" s="548" t="n"/>
    </row>
    <row r="710">
      <c r="A710" s="547" t="n"/>
      <c r="B710" s="548" t="n"/>
      <c r="C710" s="511" t="n"/>
      <c r="D710" s="511" t="n"/>
      <c r="E710" s="511" t="n"/>
      <c r="F710" s="548" t="n"/>
    </row>
    <row r="711">
      <c r="A711" s="547" t="n"/>
      <c r="B711" s="548" t="n"/>
      <c r="C711" s="511" t="n"/>
      <c r="D711" s="511" t="n"/>
      <c r="E711" s="511" t="n"/>
      <c r="F711" s="548" t="n"/>
    </row>
    <row r="712">
      <c r="A712" s="547" t="n"/>
      <c r="B712" s="548" t="n"/>
      <c r="C712" s="511" t="n"/>
      <c r="D712" s="511" t="n"/>
      <c r="E712" s="511" t="n"/>
      <c r="F712" s="548" t="n"/>
    </row>
    <row r="713">
      <c r="A713" s="547" t="n"/>
      <c r="B713" s="548" t="n"/>
      <c r="C713" s="511" t="n"/>
      <c r="D713" s="511" t="n"/>
      <c r="E713" s="511" t="n"/>
      <c r="F713" s="548" t="n"/>
    </row>
    <row r="714">
      <c r="A714" s="547" t="n"/>
      <c r="B714" s="548" t="n"/>
      <c r="C714" s="511" t="n"/>
      <c r="D714" s="511" t="n"/>
      <c r="E714" s="511" t="n"/>
      <c r="F714" s="548" t="n"/>
    </row>
    <row r="715">
      <c r="A715" s="547" t="n"/>
      <c r="B715" s="548" t="n"/>
      <c r="C715" s="511" t="n"/>
      <c r="D715" s="511" t="n"/>
      <c r="E715" s="511" t="n"/>
      <c r="F715" s="548" t="n"/>
    </row>
    <row r="716">
      <c r="A716" s="547" t="n"/>
      <c r="B716" s="548" t="n"/>
      <c r="C716" s="511" t="n"/>
      <c r="D716" s="511" t="n"/>
      <c r="E716" s="511" t="n"/>
      <c r="F716" s="548" t="n"/>
    </row>
    <row r="717">
      <c r="A717" s="547" t="n"/>
      <c r="B717" s="548" t="n"/>
      <c r="C717" s="511" t="n"/>
      <c r="D717" s="511" t="n"/>
      <c r="E717" s="511" t="n"/>
      <c r="F717" s="548" t="n"/>
    </row>
    <row r="718">
      <c r="A718" s="547" t="n"/>
      <c r="B718" s="548" t="n"/>
      <c r="C718" s="511" t="n"/>
      <c r="D718" s="511" t="n"/>
      <c r="E718" s="511" t="n"/>
      <c r="F718" s="548" t="n"/>
    </row>
    <row r="719">
      <c r="A719" s="547" t="n"/>
      <c r="B719" s="548" t="n"/>
      <c r="C719" s="511" t="n"/>
      <c r="D719" s="511" t="n"/>
      <c r="E719" s="511" t="n"/>
      <c r="F719" s="548" t="n"/>
    </row>
    <row r="720">
      <c r="A720" s="547" t="n"/>
      <c r="B720" s="548" t="n"/>
      <c r="C720" s="511" t="n"/>
      <c r="D720" s="511" t="n"/>
      <c r="E720" s="511" t="n"/>
      <c r="F720" s="548" t="n"/>
    </row>
    <row r="721">
      <c r="A721" s="547" t="n"/>
      <c r="B721" s="548" t="n"/>
      <c r="C721" s="511" t="n"/>
      <c r="D721" s="511" t="n"/>
      <c r="E721" s="511" t="n"/>
      <c r="F721" s="548" t="n"/>
    </row>
    <row r="722">
      <c r="A722" s="547" t="n"/>
      <c r="B722" s="548" t="n"/>
      <c r="C722" s="511" t="n"/>
      <c r="D722" s="511" t="n"/>
      <c r="E722" s="511" t="n"/>
      <c r="F722" s="548" t="n"/>
    </row>
    <row r="723">
      <c r="A723" s="547" t="n"/>
      <c r="B723" s="548" t="n"/>
      <c r="C723" s="511" t="n"/>
      <c r="D723" s="511" t="n"/>
      <c r="E723" s="511" t="n"/>
      <c r="F723" s="548" t="n"/>
    </row>
    <row r="724">
      <c r="A724" s="547" t="n"/>
      <c r="B724" s="548" t="n"/>
      <c r="C724" s="511" t="n"/>
      <c r="D724" s="511" t="n"/>
      <c r="E724" s="511" t="n"/>
      <c r="F724" s="548" t="n"/>
    </row>
    <row r="725">
      <c r="A725" s="547" t="n"/>
      <c r="B725" s="548" t="n"/>
      <c r="C725" s="511" t="n"/>
      <c r="D725" s="511" t="n"/>
      <c r="E725" s="511" t="n"/>
      <c r="F725" s="548" t="n"/>
    </row>
    <row r="726">
      <c r="A726" s="547" t="n"/>
      <c r="B726" s="548" t="n"/>
      <c r="C726" s="511" t="n"/>
      <c r="D726" s="511" t="n"/>
      <c r="E726" s="511" t="n"/>
      <c r="F726" s="548" t="n"/>
    </row>
    <row r="727">
      <c r="A727" s="547" t="n"/>
      <c r="B727" s="548" t="n"/>
      <c r="C727" s="511" t="n"/>
      <c r="D727" s="511" t="n"/>
      <c r="E727" s="511" t="n"/>
      <c r="F727" s="548" t="n"/>
    </row>
    <row r="728">
      <c r="A728" s="547" t="n"/>
      <c r="B728" s="548" t="n"/>
      <c r="C728" s="511" t="n"/>
      <c r="D728" s="511" t="n"/>
      <c r="E728" s="511" t="n"/>
      <c r="F728" s="548" t="n"/>
    </row>
    <row r="729">
      <c r="A729" s="547" t="n"/>
      <c r="B729" s="548" t="n"/>
      <c r="C729" s="511" t="n"/>
      <c r="D729" s="511" t="n"/>
      <c r="E729" s="511" t="n"/>
      <c r="F729" s="548" t="n"/>
    </row>
    <row r="730">
      <c r="A730" s="547" t="n"/>
      <c r="B730" s="548" t="n"/>
      <c r="C730" s="511" t="n"/>
      <c r="D730" s="511" t="n"/>
      <c r="E730" s="511" t="n"/>
      <c r="F730" s="548" t="n"/>
    </row>
    <row r="731">
      <c r="A731" s="547" t="n"/>
      <c r="B731" s="548" t="n"/>
      <c r="C731" s="511" t="n"/>
      <c r="D731" s="511" t="n"/>
      <c r="E731" s="511" t="n"/>
      <c r="F731" s="548" t="n"/>
    </row>
    <row r="732">
      <c r="A732" s="547" t="n"/>
      <c r="B732" s="548" t="n"/>
      <c r="C732" s="511" t="n"/>
      <c r="D732" s="511" t="n"/>
      <c r="E732" s="511" t="n"/>
      <c r="F732" s="548" t="n"/>
    </row>
    <row r="733">
      <c r="A733" s="547" t="n"/>
      <c r="B733" s="548" t="n"/>
      <c r="C733" s="511" t="n"/>
      <c r="D733" s="511" t="n"/>
      <c r="E733" s="511" t="n"/>
      <c r="F733" s="548" t="n"/>
    </row>
    <row r="734">
      <c r="A734" s="547" t="n"/>
      <c r="B734" s="548" t="n"/>
      <c r="C734" s="511" t="n"/>
      <c r="D734" s="511" t="n"/>
      <c r="E734" s="511" t="n"/>
      <c r="F734" s="548" t="n"/>
    </row>
    <row r="735">
      <c r="A735" s="547" t="n"/>
      <c r="B735" s="548" t="n"/>
      <c r="C735" s="511" t="n"/>
      <c r="D735" s="511" t="n"/>
      <c r="E735" s="511" t="n"/>
      <c r="F735" s="548" t="n"/>
    </row>
    <row r="736">
      <c r="A736" s="547" t="n"/>
      <c r="B736" s="548" t="n"/>
      <c r="C736" s="511" t="n"/>
      <c r="D736" s="511" t="n"/>
      <c r="E736" s="511" t="n"/>
      <c r="F736" s="548" t="n"/>
    </row>
    <row r="737">
      <c r="A737" s="547" t="n"/>
      <c r="B737" s="548" t="n"/>
      <c r="C737" s="511" t="n"/>
      <c r="D737" s="511" t="n"/>
      <c r="E737" s="511" t="n"/>
      <c r="F737" s="548" t="n"/>
    </row>
    <row r="738">
      <c r="A738" s="547" t="n"/>
      <c r="B738" s="548" t="n"/>
      <c r="C738" s="511" t="n"/>
      <c r="D738" s="511" t="n"/>
      <c r="E738" s="511" t="n"/>
      <c r="F738" s="548" t="n"/>
    </row>
    <row r="739">
      <c r="A739" s="547" t="n"/>
      <c r="B739" s="548" t="n"/>
      <c r="C739" s="511" t="n"/>
      <c r="D739" s="511" t="n"/>
      <c r="E739" s="511" t="n"/>
      <c r="F739" s="548" t="n"/>
    </row>
    <row r="740">
      <c r="A740" s="547" t="n"/>
      <c r="B740" s="548" t="n"/>
      <c r="C740" s="511" t="n"/>
      <c r="D740" s="511" t="n"/>
      <c r="E740" s="511" t="n"/>
      <c r="F740" s="548" t="n"/>
    </row>
    <row r="741">
      <c r="A741" s="547" t="n"/>
      <c r="B741" s="548" t="n"/>
      <c r="C741" s="511" t="n"/>
      <c r="D741" s="511" t="n"/>
      <c r="E741" s="511" t="n"/>
      <c r="F741" s="548" t="n"/>
    </row>
    <row r="742">
      <c r="A742" s="547" t="n"/>
      <c r="B742" s="548" t="n"/>
      <c r="C742" s="511" t="n"/>
      <c r="D742" s="511" t="n"/>
      <c r="E742" s="511" t="n"/>
      <c r="F742" s="548" t="n"/>
    </row>
    <row r="743">
      <c r="A743" s="547" t="n"/>
      <c r="B743" s="548" t="n"/>
      <c r="C743" s="511" t="n"/>
      <c r="D743" s="511" t="n"/>
      <c r="E743" s="511" t="n"/>
      <c r="F743" s="548" t="n"/>
    </row>
    <row r="744">
      <c r="A744" s="547" t="n"/>
      <c r="B744" s="548" t="n"/>
      <c r="C744" s="511" t="n"/>
      <c r="D744" s="511" t="n"/>
      <c r="E744" s="511" t="n"/>
      <c r="F744" s="548" t="n"/>
    </row>
    <row r="745">
      <c r="A745" s="547" t="n"/>
      <c r="B745" s="548" t="n"/>
      <c r="C745" s="511" t="n"/>
      <c r="D745" s="511" t="n"/>
      <c r="E745" s="511" t="n"/>
      <c r="F745" s="548" t="n"/>
    </row>
    <row r="746">
      <c r="A746" s="547" t="n"/>
      <c r="B746" s="548" t="n"/>
      <c r="C746" s="511" t="n"/>
      <c r="D746" s="511" t="n"/>
      <c r="E746" s="511" t="n"/>
      <c r="F746" s="548" t="n"/>
    </row>
    <row r="747">
      <c r="A747" s="547" t="n"/>
      <c r="B747" s="548" t="n"/>
      <c r="C747" s="511" t="n"/>
      <c r="D747" s="511" t="n"/>
      <c r="E747" s="511" t="n"/>
      <c r="F747" s="548" t="n"/>
    </row>
    <row r="748">
      <c r="A748" s="547" t="n"/>
      <c r="B748" s="548" t="n"/>
      <c r="C748" s="511" t="n"/>
      <c r="D748" s="511" t="n"/>
      <c r="E748" s="511" t="n"/>
      <c r="F748" s="548" t="n"/>
    </row>
    <row r="749">
      <c r="A749" s="547" t="n"/>
      <c r="B749" s="548" t="n"/>
      <c r="C749" s="511" t="n"/>
      <c r="D749" s="511" t="n"/>
      <c r="E749" s="511" t="n"/>
      <c r="F749" s="548" t="n"/>
    </row>
    <row r="750">
      <c r="A750" s="547" t="n"/>
      <c r="B750" s="548" t="n"/>
      <c r="C750" s="511" t="n"/>
      <c r="D750" s="511" t="n"/>
      <c r="E750" s="511" t="n"/>
      <c r="F750" s="548" t="n"/>
    </row>
    <row r="751">
      <c r="A751" s="547" t="n"/>
      <c r="B751" s="548" t="n"/>
      <c r="C751" s="511" t="n"/>
      <c r="D751" s="511" t="n"/>
      <c r="E751" s="511" t="n"/>
      <c r="F751" s="548" t="n"/>
    </row>
    <row r="752">
      <c r="A752" s="547" t="n"/>
      <c r="B752" s="548" t="n"/>
      <c r="C752" s="511" t="n"/>
      <c r="D752" s="511" t="n"/>
      <c r="E752" s="511" t="n"/>
      <c r="F752" s="548" t="n"/>
    </row>
    <row r="753">
      <c r="A753" s="547" t="n"/>
      <c r="B753" s="548" t="n"/>
      <c r="C753" s="511" t="n"/>
      <c r="D753" s="511" t="n"/>
      <c r="E753" s="511" t="n"/>
      <c r="F753" s="548" t="n"/>
    </row>
    <row r="754">
      <c r="A754" s="547" t="n"/>
      <c r="B754" s="548" t="n"/>
      <c r="C754" s="511" t="n"/>
      <c r="D754" s="511" t="n"/>
      <c r="E754" s="511" t="n"/>
      <c r="F754" s="548" t="n"/>
    </row>
    <row r="755">
      <c r="A755" s="547" t="n"/>
      <c r="B755" s="548" t="n"/>
      <c r="C755" s="511" t="n"/>
      <c r="D755" s="511" t="n"/>
      <c r="E755" s="511" t="n"/>
      <c r="F755" s="548" t="n"/>
    </row>
    <row r="756">
      <c r="A756" s="547" t="n"/>
      <c r="B756" s="548" t="n"/>
      <c r="C756" s="511" t="n"/>
      <c r="D756" s="511" t="n"/>
      <c r="E756" s="511" t="n"/>
      <c r="F756" s="548" t="n"/>
    </row>
    <row r="757">
      <c r="A757" s="547" t="n"/>
      <c r="B757" s="548" t="n"/>
      <c r="C757" s="511" t="n"/>
      <c r="D757" s="511" t="n"/>
      <c r="E757" s="511" t="n"/>
      <c r="F757" s="548" t="n"/>
    </row>
    <row r="758">
      <c r="A758" s="547" t="n"/>
      <c r="B758" s="548" t="n"/>
      <c r="C758" s="511" t="n"/>
      <c r="D758" s="511" t="n"/>
      <c r="E758" s="511" t="n"/>
      <c r="F758" s="548" t="n"/>
    </row>
    <row r="759">
      <c r="A759" s="547" t="n"/>
      <c r="B759" s="548" t="n"/>
      <c r="C759" s="511" t="n"/>
      <c r="D759" s="511" t="n"/>
      <c r="E759" s="511" t="n"/>
      <c r="F759" s="548" t="n"/>
    </row>
    <row r="760">
      <c r="A760" s="547" t="n"/>
      <c r="B760" s="548" t="n"/>
      <c r="C760" s="511" t="n"/>
      <c r="D760" s="511" t="n"/>
      <c r="E760" s="511" t="n"/>
      <c r="F760" s="548" t="n"/>
    </row>
    <row r="761">
      <c r="A761" s="547" t="n"/>
      <c r="B761" s="548" t="n"/>
      <c r="C761" s="511" t="n"/>
      <c r="D761" s="511" t="n"/>
      <c r="E761" s="511" t="n"/>
      <c r="F761" s="548" t="n"/>
    </row>
    <row r="762">
      <c r="A762" s="547" t="n"/>
      <c r="B762" s="548" t="n"/>
      <c r="C762" s="511" t="n"/>
      <c r="D762" s="511" t="n"/>
      <c r="E762" s="511" t="n"/>
      <c r="F762" s="548" t="n"/>
    </row>
    <row r="763">
      <c r="A763" s="547" t="n"/>
      <c r="B763" s="548" t="n"/>
      <c r="C763" s="511" t="n"/>
      <c r="D763" s="511" t="n"/>
      <c r="E763" s="511" t="n"/>
      <c r="F763" s="548" t="n"/>
    </row>
    <row r="764">
      <c r="A764" s="547" t="n"/>
      <c r="B764" s="548" t="n"/>
      <c r="C764" s="511" t="n"/>
      <c r="D764" s="511" t="n"/>
      <c r="E764" s="511" t="n"/>
      <c r="F764" s="548" t="n"/>
    </row>
    <row r="765">
      <c r="A765" s="547" t="n"/>
      <c r="B765" s="548" t="n"/>
      <c r="C765" s="511" t="n"/>
      <c r="D765" s="511" t="n"/>
      <c r="E765" s="511" t="n"/>
      <c r="F765" s="548" t="n"/>
    </row>
    <row r="766">
      <c r="A766" s="547" t="n"/>
      <c r="B766" s="548" t="n"/>
      <c r="C766" s="511" t="n"/>
      <c r="D766" s="511" t="n"/>
      <c r="E766" s="511" t="n"/>
      <c r="F766" s="548" t="n"/>
    </row>
    <row r="767">
      <c r="A767" s="547" t="n"/>
      <c r="B767" s="548" t="n"/>
      <c r="C767" s="511" t="n"/>
      <c r="D767" s="511" t="n"/>
      <c r="E767" s="511" t="n"/>
      <c r="F767" s="548" t="n"/>
    </row>
    <row r="768">
      <c r="A768" s="547" t="n"/>
      <c r="B768" s="548" t="n"/>
      <c r="C768" s="511" t="n"/>
      <c r="D768" s="511" t="n"/>
      <c r="E768" s="511" t="n"/>
      <c r="F768" s="548" t="n"/>
    </row>
    <row r="769">
      <c r="A769" s="547" t="n"/>
      <c r="B769" s="548" t="n"/>
      <c r="C769" s="511" t="n"/>
      <c r="D769" s="511" t="n"/>
      <c r="E769" s="511" t="n"/>
      <c r="F769" s="548" t="n"/>
    </row>
    <row r="770">
      <c r="A770" s="547" t="n"/>
      <c r="B770" s="548" t="n"/>
      <c r="C770" s="511" t="n"/>
      <c r="D770" s="511" t="n"/>
      <c r="E770" s="511" t="n"/>
      <c r="F770" s="548" t="n"/>
    </row>
    <row r="771">
      <c r="A771" s="547" t="n"/>
      <c r="B771" s="548" t="n"/>
      <c r="C771" s="511" t="n"/>
      <c r="D771" s="511" t="n"/>
      <c r="E771" s="511" t="n"/>
      <c r="F771" s="548" t="n"/>
    </row>
    <row r="772">
      <c r="A772" s="547" t="n"/>
      <c r="B772" s="548" t="n"/>
      <c r="C772" s="511" t="n"/>
      <c r="D772" s="511" t="n"/>
      <c r="E772" s="511" t="n"/>
      <c r="F772" s="548" t="n"/>
    </row>
    <row r="773">
      <c r="A773" s="547" t="n"/>
      <c r="B773" s="548" t="n"/>
      <c r="C773" s="511" t="n"/>
      <c r="D773" s="511" t="n"/>
      <c r="E773" s="511" t="n"/>
      <c r="F773" s="548" t="n"/>
    </row>
    <row r="774">
      <c r="A774" s="547" t="n"/>
      <c r="B774" s="548" t="n"/>
      <c r="C774" s="511" t="n"/>
      <c r="D774" s="511" t="n"/>
      <c r="E774" s="511" t="n"/>
      <c r="F774" s="548" t="n"/>
    </row>
    <row r="775">
      <c r="A775" s="547" t="n"/>
      <c r="B775" s="548" t="n"/>
      <c r="C775" s="511" t="n"/>
      <c r="D775" s="511" t="n"/>
      <c r="E775" s="511" t="n"/>
      <c r="F775" s="548" t="n"/>
    </row>
    <row r="776">
      <c r="A776" s="547" t="n"/>
      <c r="B776" s="548" t="n"/>
      <c r="C776" s="511" t="n"/>
      <c r="D776" s="511" t="n"/>
      <c r="E776" s="511" t="n"/>
      <c r="F776" s="548" t="n"/>
    </row>
    <row r="777">
      <c r="A777" s="547" t="n"/>
      <c r="B777" s="548" t="n"/>
      <c r="C777" s="511" t="n"/>
      <c r="D777" s="511" t="n"/>
      <c r="E777" s="511" t="n"/>
      <c r="F777" s="548" t="n"/>
    </row>
    <row r="778">
      <c r="A778" s="547" t="n"/>
      <c r="B778" s="548" t="n"/>
      <c r="C778" s="511" t="n"/>
      <c r="D778" s="511" t="n"/>
      <c r="E778" s="511" t="n"/>
      <c r="F778" s="548" t="n"/>
    </row>
    <row r="779">
      <c r="A779" s="547" t="n"/>
      <c r="B779" s="548" t="n"/>
      <c r="C779" s="511" t="n"/>
      <c r="D779" s="511" t="n"/>
      <c r="E779" s="511" t="n"/>
      <c r="F779" s="548" t="n"/>
    </row>
    <row r="780">
      <c r="A780" s="547" t="n"/>
      <c r="B780" s="548" t="n"/>
      <c r="C780" s="511" t="n"/>
      <c r="D780" s="511" t="n"/>
      <c r="E780" s="511" t="n"/>
      <c r="F780" s="548" t="n"/>
    </row>
    <row r="781">
      <c r="A781" s="547" t="n"/>
      <c r="B781" s="548" t="n"/>
      <c r="C781" s="511" t="n"/>
      <c r="D781" s="511" t="n"/>
      <c r="E781" s="511" t="n"/>
      <c r="F781" s="548" t="n"/>
    </row>
    <row r="782">
      <c r="A782" s="547" t="n"/>
      <c r="B782" s="548" t="n"/>
      <c r="C782" s="511" t="n"/>
      <c r="D782" s="511" t="n"/>
      <c r="E782" s="511" t="n"/>
      <c r="F782" s="548" t="n"/>
    </row>
    <row r="783">
      <c r="A783" s="547" t="n"/>
      <c r="B783" s="548" t="n"/>
      <c r="C783" s="511" t="n"/>
      <c r="D783" s="511" t="n"/>
      <c r="E783" s="511" t="n"/>
      <c r="F783" s="548" t="n"/>
    </row>
    <row r="784">
      <c r="A784" s="547" t="n"/>
      <c r="B784" s="548" t="n"/>
      <c r="C784" s="511" t="n"/>
      <c r="D784" s="511" t="n"/>
      <c r="E784" s="511" t="n"/>
      <c r="F784" s="548" t="n"/>
    </row>
    <row r="785">
      <c r="A785" s="547" t="n"/>
      <c r="B785" s="548" t="n"/>
      <c r="C785" s="511" t="n"/>
      <c r="D785" s="511" t="n"/>
      <c r="E785" s="511" t="n"/>
      <c r="F785" s="548" t="n"/>
    </row>
    <row r="786">
      <c r="A786" s="547" t="n"/>
      <c r="B786" s="548" t="n"/>
      <c r="C786" s="511" t="n"/>
      <c r="D786" s="511" t="n"/>
      <c r="E786" s="511" t="n"/>
      <c r="F786" s="548" t="n"/>
    </row>
    <row r="787">
      <c r="A787" s="547" t="n"/>
      <c r="B787" s="548" t="n"/>
      <c r="C787" s="511" t="n"/>
      <c r="D787" s="511" t="n"/>
      <c r="E787" s="511" t="n"/>
      <c r="F787" s="548" t="n"/>
    </row>
    <row r="788">
      <c r="A788" s="547" t="n"/>
      <c r="B788" s="548" t="n"/>
      <c r="C788" s="511" t="n"/>
      <c r="D788" s="511" t="n"/>
      <c r="E788" s="511" t="n"/>
      <c r="F788" s="548" t="n"/>
    </row>
    <row r="789">
      <c r="A789" s="547" t="n"/>
      <c r="B789" s="548" t="n"/>
      <c r="C789" s="511" t="n"/>
      <c r="D789" s="511" t="n"/>
      <c r="E789" s="511" t="n"/>
      <c r="F789" s="548" t="n"/>
    </row>
    <row r="790">
      <c r="A790" s="547" t="n"/>
      <c r="B790" s="548" t="n"/>
      <c r="C790" s="511" t="n"/>
      <c r="D790" s="511" t="n"/>
      <c r="E790" s="511" t="n"/>
      <c r="F790" s="548" t="n"/>
    </row>
    <row r="791">
      <c r="A791" s="547" t="n"/>
      <c r="B791" s="548" t="n"/>
      <c r="C791" s="511" t="n"/>
      <c r="D791" s="511" t="n"/>
      <c r="E791" s="511" t="n"/>
      <c r="F791" s="548" t="n"/>
    </row>
    <row r="792">
      <c r="A792" s="547" t="n"/>
      <c r="B792" s="548" t="n"/>
      <c r="C792" s="511" t="n"/>
      <c r="D792" s="511" t="n"/>
      <c r="E792" s="511" t="n"/>
      <c r="F792" s="548" t="n"/>
    </row>
    <row r="793">
      <c r="A793" s="547" t="n"/>
      <c r="B793" s="548" t="n"/>
      <c r="C793" s="511" t="n"/>
      <c r="D793" s="511" t="n"/>
      <c r="E793" s="511" t="n"/>
      <c r="F793" s="548" t="n"/>
    </row>
    <row r="794">
      <c r="A794" s="547" t="n"/>
      <c r="B794" s="548" t="n"/>
      <c r="C794" s="511" t="n"/>
      <c r="D794" s="511" t="n"/>
      <c r="E794" s="511" t="n"/>
      <c r="F794" s="548" t="n"/>
    </row>
    <row r="795">
      <c r="A795" s="547" t="n"/>
      <c r="B795" s="548" t="n"/>
      <c r="C795" s="511" t="n"/>
      <c r="D795" s="511" t="n"/>
      <c r="E795" s="511" t="n"/>
      <c r="F795" s="548" t="n"/>
    </row>
    <row r="796">
      <c r="A796" s="547" t="n"/>
      <c r="B796" s="548" t="n"/>
      <c r="C796" s="511" t="n"/>
      <c r="D796" s="511" t="n"/>
      <c r="E796" s="511" t="n"/>
      <c r="F796" s="548" t="n"/>
    </row>
    <row r="797">
      <c r="A797" s="547" t="n"/>
      <c r="B797" s="548" t="n"/>
      <c r="C797" s="511" t="n"/>
      <c r="D797" s="511" t="n"/>
      <c r="E797" s="511" t="n"/>
      <c r="F797" s="548" t="n"/>
    </row>
    <row r="798">
      <c r="A798" s="547" t="n"/>
      <c r="B798" s="548" t="n"/>
      <c r="C798" s="511" t="n"/>
      <c r="D798" s="511" t="n"/>
      <c r="E798" s="511" t="n"/>
      <c r="F798" s="548" t="n"/>
    </row>
    <row r="799">
      <c r="A799" s="547" t="n"/>
      <c r="B799" s="548" t="n"/>
      <c r="C799" s="511" t="n"/>
      <c r="D799" s="511" t="n"/>
      <c r="E799" s="511" t="n"/>
      <c r="F799" s="548" t="n"/>
    </row>
    <row r="800">
      <c r="A800" s="547" t="n"/>
      <c r="B800" s="548" t="n"/>
      <c r="C800" s="511" t="n"/>
      <c r="D800" s="511" t="n"/>
      <c r="E800" s="511" t="n"/>
      <c r="F800" s="548" t="n"/>
    </row>
    <row r="801">
      <c r="A801" s="547" t="n"/>
      <c r="B801" s="548" t="n"/>
      <c r="C801" s="511" t="n"/>
      <c r="D801" s="511" t="n"/>
      <c r="E801" s="511" t="n"/>
      <c r="F801" s="548" t="n"/>
    </row>
    <row r="802">
      <c r="A802" s="547" t="n"/>
      <c r="B802" s="548" t="n"/>
      <c r="C802" s="511" t="n"/>
      <c r="D802" s="511" t="n"/>
      <c r="E802" s="511" t="n"/>
      <c r="F802" s="548" t="n"/>
    </row>
    <row r="803">
      <c r="A803" s="547" t="n"/>
      <c r="B803" s="548" t="n"/>
      <c r="C803" s="511" t="n"/>
      <c r="D803" s="511" t="n"/>
      <c r="E803" s="511" t="n"/>
      <c r="F803" s="548" t="n"/>
    </row>
    <row r="804">
      <c r="A804" s="547" t="n"/>
      <c r="B804" s="548" t="n"/>
      <c r="C804" s="511" t="n"/>
      <c r="D804" s="511" t="n"/>
      <c r="E804" s="511" t="n"/>
      <c r="F804" s="548" t="n"/>
    </row>
    <row r="805">
      <c r="A805" s="547" t="n"/>
      <c r="B805" s="548" t="n"/>
      <c r="C805" s="511" t="n"/>
      <c r="D805" s="511" t="n"/>
      <c r="E805" s="511" t="n"/>
      <c r="F805" s="548" t="n"/>
    </row>
    <row r="806">
      <c r="A806" s="547" t="n"/>
      <c r="B806" s="548" t="n"/>
      <c r="C806" s="511" t="n"/>
      <c r="D806" s="511" t="n"/>
      <c r="E806" s="511" t="n"/>
      <c r="F806" s="548" t="n"/>
    </row>
    <row r="807">
      <c r="A807" s="547" t="n"/>
      <c r="B807" s="548" t="n"/>
      <c r="C807" s="511" t="n"/>
      <c r="D807" s="511" t="n"/>
      <c r="E807" s="511" t="n"/>
      <c r="F807" s="548" t="n"/>
    </row>
    <row r="808">
      <c r="A808" s="547" t="n"/>
      <c r="B808" s="548" t="n"/>
      <c r="C808" s="511" t="n"/>
      <c r="D808" s="511" t="n"/>
      <c r="E808" s="511" t="n"/>
      <c r="F808" s="548" t="n"/>
    </row>
    <row r="809">
      <c r="A809" s="547" t="n"/>
      <c r="B809" s="548" t="n"/>
      <c r="C809" s="511" t="n"/>
      <c r="D809" s="511" t="n"/>
      <c r="E809" s="511" t="n"/>
      <c r="F809" s="548" t="n"/>
    </row>
    <row r="810">
      <c r="A810" s="547" t="n"/>
      <c r="B810" s="548" t="n"/>
      <c r="C810" s="511" t="n"/>
      <c r="D810" s="511" t="n"/>
      <c r="E810" s="511" t="n"/>
      <c r="F810" s="548" t="n"/>
    </row>
    <row r="811">
      <c r="A811" s="547" t="n"/>
      <c r="B811" s="548" t="n"/>
      <c r="C811" s="511" t="n"/>
      <c r="D811" s="511" t="n"/>
      <c r="E811" s="511" t="n"/>
      <c r="F811" s="548" t="n"/>
    </row>
    <row r="812">
      <c r="A812" s="547" t="n"/>
      <c r="B812" s="548" t="n"/>
      <c r="C812" s="511" t="n"/>
      <c r="D812" s="511" t="n"/>
      <c r="E812" s="511" t="n"/>
      <c r="F812" s="548" t="n"/>
    </row>
    <row r="813">
      <c r="A813" s="547" t="n"/>
      <c r="B813" s="548" t="n"/>
      <c r="C813" s="511" t="n"/>
      <c r="D813" s="511" t="n"/>
      <c r="E813" s="511" t="n"/>
      <c r="F813" s="548" t="n"/>
    </row>
    <row r="814">
      <c r="A814" s="547" t="n"/>
      <c r="B814" s="548" t="n"/>
      <c r="C814" s="511" t="n"/>
      <c r="D814" s="511" t="n"/>
      <c r="E814" s="511" t="n"/>
      <c r="F814" s="548" t="n"/>
    </row>
    <row r="815">
      <c r="A815" s="547" t="n"/>
      <c r="B815" s="548" t="n"/>
      <c r="C815" s="511" t="n"/>
      <c r="D815" s="511" t="n"/>
      <c r="E815" s="511" t="n"/>
      <c r="F815" s="548" t="n"/>
    </row>
    <row r="816">
      <c r="A816" s="547" t="n"/>
      <c r="B816" s="548" t="n"/>
      <c r="C816" s="511" t="n"/>
      <c r="D816" s="511" t="n"/>
      <c r="E816" s="511" t="n"/>
      <c r="F816" s="548" t="n"/>
    </row>
    <row r="817">
      <c r="A817" s="547" t="n"/>
      <c r="B817" s="548" t="n"/>
      <c r="C817" s="511" t="n"/>
      <c r="D817" s="511" t="n"/>
      <c r="E817" s="511" t="n"/>
      <c r="F817" s="548" t="n"/>
    </row>
    <row r="818">
      <c r="A818" s="547" t="n"/>
      <c r="B818" s="548" t="n"/>
      <c r="C818" s="511" t="n"/>
      <c r="D818" s="511" t="n"/>
      <c r="E818" s="511" t="n"/>
      <c r="F818" s="548" t="n"/>
    </row>
    <row r="819">
      <c r="A819" s="547" t="n"/>
      <c r="B819" s="548" t="n"/>
      <c r="C819" s="511" t="n"/>
      <c r="D819" s="511" t="n"/>
      <c r="E819" s="511" t="n"/>
      <c r="F819" s="548" t="n"/>
    </row>
    <row r="820">
      <c r="A820" s="547" t="n"/>
      <c r="B820" s="548" t="n"/>
      <c r="C820" s="511" t="n"/>
      <c r="D820" s="511" t="n"/>
      <c r="E820" s="511" t="n"/>
      <c r="F820" s="548" t="n"/>
    </row>
    <row r="821">
      <c r="A821" s="547" t="n"/>
      <c r="B821" s="548" t="n"/>
      <c r="C821" s="511" t="n"/>
      <c r="D821" s="511" t="n"/>
      <c r="E821" s="511" t="n"/>
      <c r="F821" s="548" t="n"/>
    </row>
    <row r="822">
      <c r="A822" s="547" t="n"/>
      <c r="B822" s="548" t="n"/>
      <c r="C822" s="511" t="n"/>
      <c r="D822" s="511" t="n"/>
      <c r="E822" s="511" t="n"/>
      <c r="F822" s="548" t="n"/>
    </row>
    <row r="823">
      <c r="A823" s="547" t="n"/>
      <c r="B823" s="548" t="n"/>
      <c r="C823" s="511" t="n"/>
      <c r="D823" s="511" t="n"/>
      <c r="E823" s="511" t="n"/>
      <c r="F823" s="548" t="n"/>
    </row>
    <row r="824">
      <c r="A824" s="547" t="n"/>
      <c r="B824" s="548" t="n"/>
      <c r="C824" s="511" t="n"/>
      <c r="D824" s="511" t="n"/>
      <c r="E824" s="511" t="n"/>
      <c r="F824" s="548" t="n"/>
    </row>
    <row r="825">
      <c r="A825" s="547" t="n"/>
      <c r="B825" s="548" t="n"/>
      <c r="C825" s="511" t="n"/>
      <c r="D825" s="511" t="n"/>
      <c r="E825" s="511" t="n"/>
      <c r="F825" s="548" t="n"/>
    </row>
    <row r="826">
      <c r="A826" s="547" t="n"/>
      <c r="B826" s="548" t="n"/>
      <c r="C826" s="511" t="n"/>
      <c r="D826" s="511" t="n"/>
      <c r="E826" s="511" t="n"/>
      <c r="F826" s="548" t="n"/>
    </row>
    <row r="827">
      <c r="A827" s="547" t="n"/>
      <c r="B827" s="548" t="n"/>
      <c r="C827" s="511" t="n"/>
      <c r="D827" s="511" t="n"/>
      <c r="E827" s="511" t="n"/>
      <c r="F827" s="548" t="n"/>
    </row>
    <row r="828">
      <c r="A828" s="547" t="n"/>
      <c r="B828" s="548" t="n"/>
      <c r="C828" s="511" t="n"/>
      <c r="D828" s="511" t="n"/>
      <c r="E828" s="511" t="n"/>
      <c r="F828" s="548" t="n"/>
    </row>
    <row r="829">
      <c r="A829" s="547" t="n"/>
      <c r="B829" s="548" t="n"/>
      <c r="C829" s="511" t="n"/>
      <c r="D829" s="511" t="n"/>
      <c r="E829" s="511" t="n"/>
      <c r="F829" s="548" t="n"/>
    </row>
    <row r="830">
      <c r="A830" s="547" t="n"/>
      <c r="B830" s="548" t="n"/>
      <c r="C830" s="511" t="n"/>
      <c r="D830" s="511" t="n"/>
      <c r="E830" s="511" t="n"/>
      <c r="F830" s="548" t="n"/>
    </row>
    <row r="831">
      <c r="A831" s="547" t="n"/>
      <c r="B831" s="548" t="n"/>
      <c r="C831" s="511" t="n"/>
      <c r="D831" s="511" t="n"/>
      <c r="E831" s="511" t="n"/>
      <c r="F831" s="548" t="n"/>
    </row>
    <row r="832">
      <c r="A832" s="547" t="n"/>
      <c r="B832" s="548" t="n"/>
      <c r="C832" s="511" t="n"/>
      <c r="D832" s="511" t="n"/>
      <c r="E832" s="511" t="n"/>
      <c r="F832" s="548" t="n"/>
    </row>
    <row r="833">
      <c r="A833" s="547" t="n"/>
      <c r="B833" s="548" t="n"/>
      <c r="C833" s="511" t="n"/>
      <c r="D833" s="511" t="n"/>
      <c r="E833" s="511" t="n"/>
      <c r="F833" s="548" t="n"/>
    </row>
    <row r="834">
      <c r="A834" s="547" t="n"/>
      <c r="B834" s="548" t="n"/>
      <c r="C834" s="511" t="n"/>
      <c r="D834" s="511" t="n"/>
      <c r="E834" s="511" t="n"/>
      <c r="F834" s="548" t="n"/>
    </row>
    <row r="835">
      <c r="A835" s="547" t="n"/>
      <c r="B835" s="548" t="n"/>
      <c r="C835" s="511" t="n"/>
      <c r="D835" s="511" t="n"/>
      <c r="E835" s="511" t="n"/>
      <c r="F835" s="548" t="n"/>
    </row>
    <row r="836">
      <c r="A836" s="547" t="n"/>
      <c r="B836" s="548" t="n"/>
      <c r="C836" s="511" t="n"/>
      <c r="D836" s="511" t="n"/>
      <c r="E836" s="511" t="n"/>
      <c r="F836" s="548" t="n"/>
    </row>
    <row r="837">
      <c r="A837" s="547" t="n"/>
      <c r="B837" s="548" t="n"/>
      <c r="C837" s="511" t="n"/>
      <c r="D837" s="511" t="n"/>
      <c r="E837" s="511" t="n"/>
      <c r="F837" s="548" t="n"/>
    </row>
    <row r="838">
      <c r="A838" s="547" t="n"/>
      <c r="B838" s="548" t="n"/>
      <c r="C838" s="511" t="n"/>
      <c r="D838" s="511" t="n"/>
      <c r="E838" s="511" t="n"/>
      <c r="F838" s="548" t="n"/>
    </row>
    <row r="839">
      <c r="A839" s="547" t="n"/>
      <c r="B839" s="548" t="n"/>
      <c r="C839" s="511" t="n"/>
      <c r="D839" s="511" t="n"/>
      <c r="E839" s="511" t="n"/>
      <c r="F839" s="548" t="n"/>
    </row>
    <row r="840">
      <c r="A840" s="547" t="n"/>
      <c r="B840" s="548" t="n"/>
      <c r="C840" s="511" t="n"/>
      <c r="D840" s="511" t="n"/>
      <c r="E840" s="511" t="n"/>
      <c r="F840" s="548" t="n"/>
    </row>
    <row r="841">
      <c r="A841" s="547" t="n"/>
      <c r="B841" s="548" t="n"/>
      <c r="C841" s="511" t="n"/>
      <c r="D841" s="511" t="n"/>
      <c r="E841" s="511" t="n"/>
      <c r="F841" s="548" t="n"/>
    </row>
    <row r="842">
      <c r="A842" s="547" t="n"/>
      <c r="B842" s="548" t="n"/>
      <c r="C842" s="511" t="n"/>
      <c r="D842" s="511" t="n"/>
      <c r="E842" s="511" t="n"/>
      <c r="F842" s="548" t="n"/>
    </row>
    <row r="843">
      <c r="A843" s="547" t="n"/>
      <c r="B843" s="548" t="n"/>
      <c r="C843" s="511" t="n"/>
      <c r="D843" s="511" t="n"/>
      <c r="E843" s="511" t="n"/>
      <c r="F843" s="548" t="n"/>
    </row>
    <row r="844">
      <c r="A844" s="547" t="n"/>
      <c r="B844" s="548" t="n"/>
      <c r="C844" s="511" t="n"/>
      <c r="D844" s="511" t="n"/>
      <c r="E844" s="511" t="n"/>
      <c r="F844" s="548" t="n"/>
    </row>
    <row r="845">
      <c r="A845" s="547" t="n"/>
      <c r="B845" s="548" t="n"/>
      <c r="C845" s="511" t="n"/>
      <c r="D845" s="511" t="n"/>
      <c r="E845" s="511" t="n"/>
      <c r="F845" s="548" t="n"/>
    </row>
    <row r="846">
      <c r="A846" s="547" t="n"/>
      <c r="B846" s="548" t="n"/>
      <c r="C846" s="511" t="n"/>
      <c r="D846" s="511" t="n"/>
      <c r="E846" s="511" t="n"/>
      <c r="F846" s="548" t="n"/>
    </row>
    <row r="847">
      <c r="A847" s="547" t="n"/>
      <c r="B847" s="548" t="n"/>
      <c r="C847" s="511" t="n"/>
      <c r="D847" s="511" t="n"/>
      <c r="E847" s="511" t="n"/>
      <c r="F847" s="548" t="n"/>
    </row>
    <row r="848">
      <c r="A848" s="547" t="n"/>
      <c r="B848" s="548" t="n"/>
      <c r="C848" s="511" t="n"/>
      <c r="D848" s="511" t="n"/>
      <c r="E848" s="511" t="n"/>
      <c r="F848" s="548" t="n"/>
    </row>
    <row r="849">
      <c r="A849" s="547" t="n"/>
      <c r="B849" s="548" t="n"/>
      <c r="C849" s="511" t="n"/>
      <c r="D849" s="511" t="n"/>
      <c r="E849" s="511" t="n"/>
      <c r="F849" s="548" t="n"/>
    </row>
    <row r="850">
      <c r="A850" s="547" t="n"/>
      <c r="B850" s="548" t="n"/>
      <c r="C850" s="511" t="n"/>
      <c r="D850" s="511" t="n"/>
      <c r="E850" s="511" t="n"/>
      <c r="F850" s="548" t="n"/>
    </row>
    <row r="851">
      <c r="A851" s="547" t="n"/>
      <c r="B851" s="548" t="n"/>
      <c r="C851" s="511" t="n"/>
      <c r="D851" s="511" t="n"/>
      <c r="E851" s="511" t="n"/>
      <c r="F851" s="548" t="n"/>
    </row>
    <row r="852">
      <c r="A852" s="547" t="n"/>
      <c r="B852" s="548" t="n"/>
      <c r="C852" s="511" t="n"/>
      <c r="D852" s="511" t="n"/>
      <c r="E852" s="511" t="n"/>
      <c r="F852" s="548" t="n"/>
    </row>
    <row r="853">
      <c r="A853" s="547" t="n"/>
      <c r="B853" s="548" t="n"/>
      <c r="C853" s="511" t="n"/>
      <c r="D853" s="511" t="n"/>
      <c r="E853" s="511" t="n"/>
      <c r="F853" s="548" t="n"/>
    </row>
    <row r="854">
      <c r="A854" s="547" t="n"/>
      <c r="B854" s="548" t="n"/>
      <c r="C854" s="511" t="n"/>
      <c r="D854" s="511" t="n"/>
      <c r="E854" s="511" t="n"/>
      <c r="F854" s="548" t="n"/>
    </row>
    <row r="855">
      <c r="A855" s="547" t="n"/>
      <c r="B855" s="548" t="n"/>
      <c r="C855" s="511" t="n"/>
      <c r="D855" s="511" t="n"/>
      <c r="E855" s="511" t="n"/>
      <c r="F855" s="548" t="n"/>
    </row>
    <row r="856">
      <c r="A856" s="547" t="n"/>
      <c r="B856" s="548" t="n"/>
      <c r="C856" s="511" t="n"/>
      <c r="D856" s="511" t="n"/>
      <c r="E856" s="511" t="n"/>
      <c r="F856" s="548" t="n"/>
    </row>
    <row r="857">
      <c r="A857" s="547" t="n"/>
      <c r="B857" s="548" t="n"/>
      <c r="C857" s="511" t="n"/>
      <c r="D857" s="511" t="n"/>
      <c r="E857" s="511" t="n"/>
      <c r="F857" s="548" t="n"/>
    </row>
    <row r="858">
      <c r="A858" s="547" t="n"/>
      <c r="B858" s="548" t="n"/>
      <c r="C858" s="511" t="n"/>
      <c r="D858" s="511" t="n"/>
      <c r="E858" s="511" t="n"/>
      <c r="F858" s="548" t="n"/>
    </row>
    <row r="859">
      <c r="A859" s="547" t="n"/>
      <c r="B859" s="548" t="n"/>
      <c r="C859" s="511" t="n"/>
      <c r="D859" s="511" t="n"/>
      <c r="E859" s="511" t="n"/>
      <c r="F859" s="548" t="n"/>
    </row>
    <row r="860">
      <c r="A860" s="547" t="n"/>
      <c r="B860" s="548" t="n"/>
      <c r="C860" s="511" t="n"/>
      <c r="D860" s="511" t="n"/>
      <c r="E860" s="511" t="n"/>
      <c r="F860" s="548" t="n"/>
    </row>
    <row r="861">
      <c r="A861" s="547" t="n"/>
      <c r="B861" s="548" t="n"/>
      <c r="C861" s="511" t="n"/>
      <c r="D861" s="511" t="n"/>
      <c r="E861" s="511" t="n"/>
      <c r="F861" s="548" t="n"/>
    </row>
    <row r="862">
      <c r="A862" s="547" t="n"/>
      <c r="B862" s="548" t="n"/>
      <c r="C862" s="511" t="n"/>
      <c r="D862" s="511" t="n"/>
      <c r="E862" s="511" t="n"/>
      <c r="F862" s="548" t="n"/>
    </row>
    <row r="863">
      <c r="A863" s="547" t="n"/>
      <c r="B863" s="548" t="n"/>
      <c r="C863" s="511" t="n"/>
      <c r="D863" s="511" t="n"/>
      <c r="E863" s="511" t="n"/>
      <c r="F863" s="548" t="n"/>
    </row>
    <row r="864">
      <c r="A864" s="547" t="n"/>
      <c r="B864" s="548" t="n"/>
      <c r="C864" s="511" t="n"/>
      <c r="D864" s="511" t="n"/>
      <c r="E864" s="511" t="n"/>
      <c r="F864" s="548" t="n"/>
    </row>
    <row r="865">
      <c r="A865" s="547" t="n"/>
      <c r="B865" s="548" t="n"/>
      <c r="C865" s="511" t="n"/>
      <c r="D865" s="511" t="n"/>
      <c r="E865" s="511" t="n"/>
      <c r="F865" s="548" t="n"/>
    </row>
    <row r="866">
      <c r="A866" s="547" t="n"/>
      <c r="B866" s="548" t="n"/>
      <c r="C866" s="511" t="n"/>
      <c r="D866" s="511" t="n"/>
      <c r="E866" s="511" t="n"/>
      <c r="F866" s="548" t="n"/>
    </row>
    <row r="867">
      <c r="A867" s="547" t="n"/>
      <c r="B867" s="548" t="n"/>
      <c r="C867" s="511" t="n"/>
      <c r="D867" s="511" t="n"/>
      <c r="E867" s="511" t="n"/>
      <c r="F867" s="548" t="n"/>
    </row>
    <row r="868">
      <c r="A868" s="547" t="n"/>
      <c r="B868" s="548" t="n"/>
      <c r="C868" s="511" t="n"/>
      <c r="D868" s="511" t="n"/>
      <c r="E868" s="511" t="n"/>
      <c r="F868" s="548" t="n"/>
    </row>
    <row r="869">
      <c r="A869" s="547" t="n"/>
      <c r="B869" s="548" t="n"/>
      <c r="C869" s="511" t="n"/>
      <c r="D869" s="511" t="n"/>
      <c r="E869" s="511" t="n"/>
      <c r="F869" s="548" t="n"/>
    </row>
    <row r="870">
      <c r="A870" s="547" t="n"/>
      <c r="B870" s="548" t="n"/>
      <c r="C870" s="511" t="n"/>
      <c r="D870" s="511" t="n"/>
      <c r="E870" s="511" t="n"/>
      <c r="F870" s="548" t="n"/>
    </row>
    <row r="871">
      <c r="A871" s="547" t="n"/>
      <c r="B871" s="548" t="n"/>
      <c r="C871" s="511" t="n"/>
      <c r="D871" s="511" t="n"/>
      <c r="E871" s="511" t="n"/>
      <c r="F871" s="548" t="n"/>
    </row>
    <row r="872">
      <c r="A872" s="547" t="n"/>
      <c r="B872" s="548" t="n"/>
      <c r="C872" s="511" t="n"/>
      <c r="D872" s="511" t="n"/>
      <c r="E872" s="511" t="n"/>
      <c r="F872" s="548" t="n"/>
    </row>
    <row r="873">
      <c r="A873" s="547" t="n"/>
      <c r="B873" s="548" t="n"/>
      <c r="C873" s="511" t="n"/>
      <c r="D873" s="511" t="n"/>
      <c r="E873" s="511" t="n"/>
      <c r="F873" s="548" t="n"/>
    </row>
    <row r="874">
      <c r="A874" s="547" t="n"/>
      <c r="B874" s="548" t="n"/>
      <c r="C874" s="511" t="n"/>
      <c r="D874" s="511" t="n"/>
      <c r="E874" s="511" t="n"/>
      <c r="F874" s="548" t="n"/>
    </row>
    <row r="875">
      <c r="A875" s="547" t="n"/>
      <c r="B875" s="548" t="n"/>
      <c r="C875" s="511" t="n"/>
      <c r="D875" s="511" t="n"/>
      <c r="E875" s="511" t="n"/>
      <c r="F875" s="548" t="n"/>
    </row>
    <row r="876">
      <c r="A876" s="547" t="n"/>
      <c r="B876" s="548" t="n"/>
      <c r="C876" s="511" t="n"/>
      <c r="D876" s="511" t="n"/>
      <c r="E876" s="511" t="n"/>
      <c r="F876" s="548" t="n"/>
    </row>
    <row r="877">
      <c r="A877" s="547" t="n"/>
      <c r="B877" s="548" t="n"/>
      <c r="C877" s="511" t="n"/>
      <c r="D877" s="511" t="n"/>
      <c r="E877" s="511" t="n"/>
      <c r="F877" s="548" t="n"/>
    </row>
    <row r="878">
      <c r="A878" s="547" t="n"/>
      <c r="B878" s="548" t="n"/>
      <c r="C878" s="511" t="n"/>
      <c r="D878" s="511" t="n"/>
      <c r="E878" s="511" t="n"/>
      <c r="F878" s="548" t="n"/>
    </row>
    <row r="879">
      <c r="A879" s="547" t="n"/>
      <c r="B879" s="548" t="n"/>
      <c r="C879" s="511" t="n"/>
      <c r="D879" s="511" t="n"/>
      <c r="E879" s="511" t="n"/>
      <c r="F879" s="548" t="n"/>
    </row>
    <row r="880">
      <c r="A880" s="547" t="n"/>
      <c r="B880" s="548" t="n"/>
      <c r="C880" s="511" t="n"/>
      <c r="D880" s="511" t="n"/>
      <c r="E880" s="511" t="n"/>
      <c r="F880" s="548" t="n"/>
    </row>
    <row r="881">
      <c r="A881" s="547" t="n"/>
      <c r="B881" s="548" t="n"/>
      <c r="C881" s="511" t="n"/>
      <c r="D881" s="511" t="n"/>
      <c r="E881" s="511" t="n"/>
      <c r="F881" s="548" t="n"/>
    </row>
    <row r="882">
      <c r="A882" s="547" t="n"/>
      <c r="B882" s="548" t="n"/>
      <c r="C882" s="511" t="n"/>
      <c r="D882" s="511" t="n"/>
      <c r="E882" s="511" t="n"/>
      <c r="F882" s="548" t="n"/>
    </row>
    <row r="883">
      <c r="A883" s="547" t="n"/>
      <c r="B883" s="548" t="n"/>
      <c r="C883" s="511" t="n"/>
      <c r="D883" s="511" t="n"/>
      <c r="E883" s="511" t="n"/>
      <c r="F883" s="548" t="n"/>
    </row>
    <row r="884">
      <c r="A884" s="547" t="n"/>
      <c r="B884" s="548" t="n"/>
      <c r="C884" s="511" t="n"/>
      <c r="D884" s="511" t="n"/>
      <c r="E884" s="511" t="n"/>
      <c r="F884" s="548" t="n"/>
    </row>
    <row r="885">
      <c r="A885" s="547" t="n"/>
      <c r="B885" s="548" t="n"/>
      <c r="C885" s="511" t="n"/>
      <c r="D885" s="511" t="n"/>
      <c r="E885" s="511" t="n"/>
      <c r="F885" s="548" t="n"/>
    </row>
    <row r="886">
      <c r="A886" s="547" t="n"/>
      <c r="B886" s="548" t="n"/>
      <c r="C886" s="511" t="n"/>
      <c r="D886" s="511" t="n"/>
      <c r="E886" s="511" t="n"/>
      <c r="F886" s="548" t="n"/>
    </row>
    <row r="887">
      <c r="A887" s="547" t="n"/>
      <c r="B887" s="548" t="n"/>
      <c r="C887" s="511" t="n"/>
      <c r="D887" s="511" t="n"/>
      <c r="E887" s="511" t="n"/>
      <c r="F887" s="548" t="n"/>
    </row>
    <row r="888">
      <c r="A888" s="547" t="n"/>
      <c r="B888" s="548" t="n"/>
      <c r="C888" s="511" t="n"/>
      <c r="D888" s="511" t="n"/>
      <c r="E888" s="511" t="n"/>
      <c r="F888" s="548" t="n"/>
    </row>
    <row r="889">
      <c r="A889" s="547" t="n"/>
      <c r="B889" s="548" t="n"/>
      <c r="C889" s="511" t="n"/>
      <c r="D889" s="511" t="n"/>
      <c r="E889" s="511" t="n"/>
      <c r="F889" s="548" t="n"/>
    </row>
    <row r="890">
      <c r="A890" s="547" t="n"/>
      <c r="B890" s="548" t="n"/>
      <c r="C890" s="511" t="n"/>
      <c r="D890" s="511" t="n"/>
      <c r="E890" s="511" t="n"/>
      <c r="F890" s="548" t="n"/>
    </row>
    <row r="891">
      <c r="A891" s="547" t="n"/>
      <c r="B891" s="548" t="n"/>
      <c r="C891" s="511" t="n"/>
      <c r="D891" s="511" t="n"/>
      <c r="E891" s="511" t="n"/>
      <c r="F891" s="548" t="n"/>
    </row>
    <row r="892">
      <c r="A892" s="547" t="n"/>
      <c r="B892" s="548" t="n"/>
      <c r="C892" s="511" t="n"/>
      <c r="D892" s="511" t="n"/>
      <c r="E892" s="511" t="n"/>
      <c r="F892" s="548" t="n"/>
    </row>
    <row r="893">
      <c r="A893" s="547" t="n"/>
      <c r="B893" s="548" t="n"/>
      <c r="C893" s="511" t="n"/>
      <c r="D893" s="511" t="n"/>
      <c r="E893" s="511" t="n"/>
      <c r="F893" s="548" t="n"/>
    </row>
    <row r="894">
      <c r="A894" s="547" t="n"/>
      <c r="B894" s="548" t="n"/>
      <c r="C894" s="511" t="n"/>
      <c r="D894" s="511" t="n"/>
      <c r="E894" s="511" t="n"/>
      <c r="F894" s="548" t="n"/>
    </row>
    <row r="895">
      <c r="A895" s="547" t="n"/>
      <c r="B895" s="548" t="n"/>
      <c r="C895" s="511" t="n"/>
      <c r="D895" s="511" t="n"/>
      <c r="E895" s="511" t="n"/>
      <c r="F895" s="548" t="n"/>
    </row>
    <row r="896">
      <c r="A896" s="547" t="n"/>
      <c r="B896" s="548" t="n"/>
      <c r="C896" s="511" t="n"/>
      <c r="D896" s="511" t="n"/>
      <c r="E896" s="511" t="n"/>
      <c r="F896" s="548" t="n"/>
    </row>
    <row r="897">
      <c r="A897" s="547" t="n"/>
      <c r="B897" s="548" t="n"/>
      <c r="C897" s="511" t="n"/>
      <c r="D897" s="511" t="n"/>
      <c r="E897" s="511" t="n"/>
      <c r="F897" s="548" t="n"/>
    </row>
    <row r="898">
      <c r="A898" s="547" t="n"/>
      <c r="B898" s="548" t="n"/>
      <c r="C898" s="511" t="n"/>
      <c r="D898" s="511" t="n"/>
      <c r="E898" s="511" t="n"/>
      <c r="F898" s="548" t="n"/>
    </row>
    <row r="899">
      <c r="A899" s="547" t="n"/>
      <c r="B899" s="548" t="n"/>
      <c r="C899" s="511" t="n"/>
      <c r="D899" s="511" t="n"/>
      <c r="E899" s="511" t="n"/>
      <c r="F899" s="548" t="n"/>
    </row>
    <row r="900">
      <c r="A900" s="547" t="n"/>
      <c r="B900" s="548" t="n"/>
      <c r="C900" s="511" t="n"/>
      <c r="D900" s="511" t="n"/>
      <c r="E900" s="511" t="n"/>
      <c r="F900" s="548" t="n"/>
    </row>
    <row r="901">
      <c r="A901" s="547" t="n"/>
      <c r="B901" s="548" t="n"/>
      <c r="C901" s="511" t="n"/>
      <c r="D901" s="511" t="n"/>
      <c r="E901" s="511" t="n"/>
      <c r="F901" s="548" t="n"/>
    </row>
    <row r="902">
      <c r="A902" s="547" t="n"/>
      <c r="B902" s="548" t="n"/>
      <c r="C902" s="511" t="n"/>
      <c r="D902" s="511" t="n"/>
      <c r="E902" s="511" t="n"/>
      <c r="F902" s="548" t="n"/>
    </row>
    <row r="903">
      <c r="A903" s="547" t="n"/>
      <c r="B903" s="548" t="n"/>
      <c r="C903" s="511" t="n"/>
      <c r="D903" s="511" t="n"/>
      <c r="E903" s="511" t="n"/>
      <c r="F903" s="548" t="n"/>
    </row>
    <row r="904">
      <c r="A904" s="547" t="n"/>
      <c r="B904" s="548" t="n"/>
      <c r="C904" s="511" t="n"/>
      <c r="D904" s="511" t="n"/>
      <c r="E904" s="511" t="n"/>
      <c r="F904" s="548" t="n"/>
    </row>
    <row r="905">
      <c r="A905" s="547" t="n"/>
      <c r="B905" s="548" t="n"/>
      <c r="C905" s="511" t="n"/>
      <c r="D905" s="511" t="n"/>
      <c r="E905" s="511" t="n"/>
      <c r="F905" s="548" t="n"/>
    </row>
    <row r="906">
      <c r="A906" s="547" t="n"/>
      <c r="B906" s="548" t="n"/>
      <c r="C906" s="511" t="n"/>
      <c r="D906" s="511" t="n"/>
      <c r="E906" s="511" t="n"/>
      <c r="F906" s="548" t="n"/>
    </row>
    <row r="907">
      <c r="A907" s="547" t="n"/>
      <c r="B907" s="548" t="n"/>
      <c r="C907" s="511" t="n"/>
      <c r="D907" s="511" t="n"/>
      <c r="E907" s="511" t="n"/>
      <c r="F907" s="548" t="n"/>
    </row>
    <row r="908">
      <c r="A908" s="547" t="n"/>
      <c r="B908" s="548" t="n"/>
      <c r="C908" s="511" t="n"/>
      <c r="D908" s="511" t="n"/>
      <c r="E908" s="511" t="n"/>
      <c r="F908" s="548" t="n"/>
    </row>
    <row r="909">
      <c r="A909" s="547" t="n"/>
      <c r="B909" s="548" t="n"/>
      <c r="C909" s="511" t="n"/>
      <c r="D909" s="511" t="n"/>
      <c r="E909" s="511" t="n"/>
      <c r="F909" s="548" t="n"/>
    </row>
    <row r="910">
      <c r="A910" s="547" t="n"/>
      <c r="B910" s="548" t="n"/>
      <c r="C910" s="511" t="n"/>
      <c r="D910" s="511" t="n"/>
      <c r="E910" s="511" t="n"/>
      <c r="F910" s="548" t="n"/>
    </row>
    <row r="911">
      <c r="A911" s="547" t="n"/>
      <c r="B911" s="548" t="n"/>
      <c r="C911" s="511" t="n"/>
      <c r="D911" s="511" t="n"/>
      <c r="E911" s="511" t="n"/>
      <c r="F911" s="548" t="n"/>
    </row>
    <row r="912">
      <c r="A912" s="547" t="n"/>
      <c r="B912" s="548" t="n"/>
      <c r="C912" s="511" t="n"/>
      <c r="D912" s="511" t="n"/>
      <c r="E912" s="511" t="n"/>
      <c r="F912" s="548" t="n"/>
    </row>
    <row r="913">
      <c r="A913" s="547" t="n"/>
      <c r="B913" s="548" t="n"/>
      <c r="C913" s="511" t="n"/>
      <c r="D913" s="511" t="n"/>
      <c r="E913" s="511" t="n"/>
      <c r="F913" s="548" t="n"/>
    </row>
    <row r="914">
      <c r="A914" s="547" t="n"/>
      <c r="B914" s="548" t="n"/>
      <c r="C914" s="511" t="n"/>
      <c r="D914" s="511" t="n"/>
      <c r="E914" s="511" t="n"/>
      <c r="F914" s="548" t="n"/>
    </row>
    <row r="915">
      <c r="A915" s="547" t="n"/>
      <c r="B915" s="548" t="n"/>
      <c r="C915" s="511" t="n"/>
      <c r="D915" s="511" t="n"/>
      <c r="E915" s="511" t="n"/>
      <c r="F915" s="548" t="n"/>
    </row>
    <row r="916">
      <c r="A916" s="547" t="n"/>
      <c r="B916" s="548" t="n"/>
      <c r="C916" s="511" t="n"/>
      <c r="D916" s="511" t="n"/>
      <c r="E916" s="511" t="n"/>
      <c r="F916" s="548" t="n"/>
    </row>
    <row r="917">
      <c r="A917" s="547" t="n"/>
      <c r="B917" s="548" t="n"/>
      <c r="C917" s="511" t="n"/>
      <c r="D917" s="511" t="n"/>
      <c r="E917" s="511" t="n"/>
      <c r="F917" s="548" t="n"/>
    </row>
    <row r="918">
      <c r="A918" s="547" t="n"/>
      <c r="B918" s="548" t="n"/>
      <c r="C918" s="511" t="n"/>
      <c r="D918" s="511" t="n"/>
      <c r="E918" s="511" t="n"/>
      <c r="F918" s="548" t="n"/>
    </row>
    <row r="919">
      <c r="A919" s="547" t="n"/>
      <c r="B919" s="548" t="n"/>
      <c r="C919" s="511" t="n"/>
      <c r="D919" s="511" t="n"/>
      <c r="E919" s="511" t="n"/>
      <c r="F919" s="548" t="n"/>
    </row>
    <row r="920">
      <c r="A920" s="547" t="n"/>
      <c r="B920" s="548" t="n"/>
      <c r="C920" s="511" t="n"/>
      <c r="D920" s="511" t="n"/>
      <c r="E920" s="511" t="n"/>
      <c r="F920" s="548" t="n"/>
    </row>
    <row r="921">
      <c r="A921" s="547" t="n"/>
      <c r="B921" s="548" t="n"/>
      <c r="C921" s="511" t="n"/>
      <c r="D921" s="511" t="n"/>
      <c r="E921" s="511" t="n"/>
      <c r="F921" s="548" t="n"/>
    </row>
    <row r="922">
      <c r="A922" s="547" t="n"/>
      <c r="B922" s="548" t="n"/>
      <c r="C922" s="511" t="n"/>
      <c r="D922" s="511" t="n"/>
      <c r="E922" s="511" t="n"/>
      <c r="F922" s="548" t="n"/>
    </row>
    <row r="923">
      <c r="A923" s="547" t="n"/>
      <c r="B923" s="548" t="n"/>
      <c r="C923" s="511" t="n"/>
      <c r="D923" s="511" t="n"/>
      <c r="E923" s="511" t="n"/>
      <c r="F923" s="548" t="n"/>
    </row>
    <row r="924">
      <c r="A924" s="547" t="n"/>
      <c r="B924" s="548" t="n"/>
      <c r="C924" s="511" t="n"/>
      <c r="D924" s="511" t="n"/>
      <c r="E924" s="511" t="n"/>
      <c r="F924" s="548" t="n"/>
    </row>
    <row r="925">
      <c r="A925" s="547" t="n"/>
      <c r="B925" s="548" t="n"/>
      <c r="C925" s="511" t="n"/>
      <c r="D925" s="511" t="n"/>
      <c r="E925" s="511" t="n"/>
      <c r="F925" s="548" t="n"/>
    </row>
    <row r="926">
      <c r="A926" s="547" t="n"/>
      <c r="B926" s="548" t="n"/>
      <c r="C926" s="511" t="n"/>
      <c r="D926" s="511" t="n"/>
      <c r="E926" s="511" t="n"/>
      <c r="F926" s="548" t="n"/>
    </row>
    <row r="927">
      <c r="A927" s="547" t="n"/>
      <c r="B927" s="548" t="n"/>
      <c r="C927" s="511" t="n"/>
      <c r="D927" s="511" t="n"/>
      <c r="E927" s="511" t="n"/>
      <c r="F927" s="548" t="n"/>
    </row>
    <row r="928">
      <c r="A928" s="547" t="n"/>
      <c r="B928" s="548" t="n"/>
      <c r="C928" s="511" t="n"/>
      <c r="D928" s="511" t="n"/>
      <c r="E928" s="511" t="n"/>
      <c r="F928" s="548" t="n"/>
    </row>
    <row r="929">
      <c r="A929" s="547" t="n"/>
      <c r="B929" s="548" t="n"/>
      <c r="C929" s="511" t="n"/>
      <c r="D929" s="511" t="n"/>
      <c r="E929" s="511" t="n"/>
      <c r="F929" s="548" t="n"/>
    </row>
    <row r="930">
      <c r="A930" s="547" t="n"/>
      <c r="B930" s="548" t="n"/>
      <c r="C930" s="511" t="n"/>
      <c r="D930" s="511" t="n"/>
      <c r="E930" s="511" t="n"/>
      <c r="F930" s="548" t="n"/>
    </row>
    <row r="931">
      <c r="A931" s="547" t="n"/>
      <c r="B931" s="548" t="n"/>
      <c r="C931" s="511" t="n"/>
      <c r="D931" s="511" t="n"/>
      <c r="E931" s="511" t="n"/>
      <c r="F931" s="548" t="n"/>
    </row>
    <row r="932">
      <c r="A932" s="547" t="n"/>
      <c r="B932" s="548" t="n"/>
      <c r="C932" s="511" t="n"/>
      <c r="D932" s="511" t="n"/>
      <c r="E932" s="511" t="n"/>
      <c r="F932" s="548" t="n"/>
    </row>
    <row r="933">
      <c r="A933" s="547" t="n"/>
      <c r="B933" s="548" t="n"/>
      <c r="C933" s="511" t="n"/>
      <c r="D933" s="511" t="n"/>
      <c r="E933" s="511" t="n"/>
      <c r="F933" s="548" t="n"/>
    </row>
    <row r="934">
      <c r="A934" s="547" t="n"/>
      <c r="B934" s="548" t="n"/>
      <c r="C934" s="511" t="n"/>
      <c r="D934" s="511" t="n"/>
      <c r="E934" s="511" t="n"/>
      <c r="F934" s="548" t="n"/>
    </row>
    <row r="935">
      <c r="A935" s="547" t="n"/>
      <c r="B935" s="548" t="n"/>
      <c r="C935" s="511" t="n"/>
      <c r="D935" s="511" t="n"/>
      <c r="E935" s="511" t="n"/>
      <c r="F935" s="548" t="n"/>
    </row>
    <row r="936">
      <c r="A936" s="547" t="n"/>
      <c r="B936" s="548" t="n"/>
      <c r="C936" s="511" t="n"/>
      <c r="D936" s="511" t="n"/>
      <c r="E936" s="511" t="n"/>
      <c r="F936" s="548" t="n"/>
    </row>
    <row r="937">
      <c r="A937" s="547" t="n"/>
      <c r="B937" s="548" t="n"/>
      <c r="C937" s="511" t="n"/>
      <c r="D937" s="511" t="n"/>
      <c r="E937" s="511" t="n"/>
      <c r="F937" s="548" t="n"/>
    </row>
    <row r="938">
      <c r="A938" s="547" t="n"/>
      <c r="B938" s="548" t="n"/>
      <c r="C938" s="511" t="n"/>
      <c r="D938" s="511" t="n"/>
      <c r="E938" s="511" t="n"/>
      <c r="F938" s="548" t="n"/>
    </row>
    <row r="939">
      <c r="A939" s="547" t="n"/>
      <c r="B939" s="548" t="n"/>
      <c r="C939" s="511" t="n"/>
      <c r="D939" s="511" t="n"/>
      <c r="E939" s="511" t="n"/>
      <c r="F939" s="548" t="n"/>
    </row>
    <row r="940">
      <c r="A940" s="547" t="n"/>
      <c r="B940" s="548" t="n"/>
      <c r="C940" s="511" t="n"/>
      <c r="D940" s="511" t="n"/>
      <c r="E940" s="511" t="n"/>
      <c r="F940" s="548" t="n"/>
    </row>
    <row r="941">
      <c r="A941" s="547" t="n"/>
      <c r="B941" s="548" t="n"/>
      <c r="C941" s="511" t="n"/>
      <c r="D941" s="511" t="n"/>
      <c r="E941" s="511" t="n"/>
      <c r="F941" s="548" t="n"/>
    </row>
    <row r="942">
      <c r="A942" s="547" t="n"/>
      <c r="B942" s="548" t="n"/>
      <c r="C942" s="511" t="n"/>
      <c r="D942" s="511" t="n"/>
      <c r="E942" s="511" t="n"/>
      <c r="F942" s="548" t="n"/>
    </row>
    <row r="943">
      <c r="A943" s="547" t="n"/>
      <c r="B943" s="548" t="n"/>
      <c r="C943" s="511" t="n"/>
      <c r="D943" s="511" t="n"/>
      <c r="E943" s="511" t="n"/>
      <c r="F943" s="548" t="n"/>
    </row>
    <row r="944">
      <c r="A944" s="547" t="n"/>
      <c r="B944" s="548" t="n"/>
      <c r="C944" s="511" t="n"/>
      <c r="D944" s="511" t="n"/>
      <c r="E944" s="511" t="n"/>
      <c r="F944" s="548" t="n"/>
    </row>
    <row r="945">
      <c r="A945" s="547" t="n"/>
      <c r="B945" s="548" t="n"/>
      <c r="C945" s="511" t="n"/>
      <c r="D945" s="511" t="n"/>
      <c r="E945" s="511" t="n"/>
      <c r="F945" s="548" t="n"/>
    </row>
    <row r="946">
      <c r="A946" s="547" t="n"/>
      <c r="B946" s="548" t="n"/>
      <c r="C946" s="511" t="n"/>
      <c r="D946" s="511" t="n"/>
      <c r="E946" s="511" t="n"/>
      <c r="F946" s="548" t="n"/>
    </row>
    <row r="947">
      <c r="A947" s="547" t="n"/>
      <c r="B947" s="548" t="n"/>
      <c r="C947" s="511" t="n"/>
      <c r="D947" s="511" t="n"/>
      <c r="E947" s="511" t="n"/>
      <c r="F947" s="548" t="n"/>
    </row>
    <row r="948">
      <c r="A948" s="547" t="n"/>
      <c r="B948" s="548" t="n"/>
      <c r="C948" s="511" t="n"/>
      <c r="D948" s="511" t="n"/>
      <c r="E948" s="511" t="n"/>
      <c r="F948" s="548" t="n"/>
    </row>
    <row r="949">
      <c r="A949" s="547" t="n"/>
      <c r="B949" s="548" t="n"/>
      <c r="C949" s="511" t="n"/>
      <c r="D949" s="511" t="n"/>
      <c r="E949" s="511" t="n"/>
      <c r="F949" s="548" t="n"/>
    </row>
    <row r="950">
      <c r="A950" s="547" t="n"/>
      <c r="B950" s="548" t="n"/>
      <c r="C950" s="511" t="n"/>
      <c r="D950" s="511" t="n"/>
      <c r="E950" s="511" t="n"/>
      <c r="F950" s="548" t="n"/>
    </row>
    <row r="951">
      <c r="A951" s="547" t="n"/>
      <c r="B951" s="548" t="n"/>
      <c r="C951" s="511" t="n"/>
      <c r="D951" s="511" t="n"/>
      <c r="E951" s="511" t="n"/>
      <c r="F951" s="548" t="n"/>
    </row>
    <row r="952">
      <c r="A952" s="547" t="n"/>
      <c r="B952" s="548" t="n"/>
      <c r="C952" s="511" t="n"/>
      <c r="D952" s="511" t="n"/>
      <c r="E952" s="511" t="n"/>
      <c r="F952" s="548" t="n"/>
    </row>
    <row r="953">
      <c r="A953" s="547" t="n"/>
      <c r="B953" s="548" t="n"/>
      <c r="C953" s="511" t="n"/>
      <c r="D953" s="511" t="n"/>
      <c r="E953" s="511" t="n"/>
      <c r="F953" s="548" t="n"/>
    </row>
    <row r="954">
      <c r="A954" s="547" t="n"/>
      <c r="B954" s="548" t="n"/>
      <c r="C954" s="511" t="n"/>
      <c r="D954" s="511" t="n"/>
      <c r="E954" s="511" t="n"/>
      <c r="F954" s="548" t="n"/>
    </row>
    <row r="955">
      <c r="A955" s="547" t="n"/>
      <c r="B955" s="548" t="n"/>
      <c r="C955" s="511" t="n"/>
      <c r="D955" s="511" t="n"/>
      <c r="E955" s="511" t="n"/>
      <c r="F955" s="548" t="n"/>
    </row>
    <row r="956">
      <c r="A956" s="547" t="n"/>
      <c r="B956" s="548" t="n"/>
      <c r="C956" s="511" t="n"/>
      <c r="D956" s="511" t="n"/>
      <c r="E956" s="511" t="n"/>
      <c r="F956" s="548" t="n"/>
    </row>
    <row r="957">
      <c r="A957" s="547" t="n"/>
      <c r="B957" s="548" t="n"/>
      <c r="C957" s="511" t="n"/>
      <c r="D957" s="511" t="n"/>
      <c r="E957" s="511" t="n"/>
      <c r="F957" s="548" t="n"/>
    </row>
    <row r="958">
      <c r="A958" s="547" t="n"/>
      <c r="B958" s="548" t="n"/>
      <c r="C958" s="511" t="n"/>
      <c r="D958" s="511" t="n"/>
      <c r="E958" s="511" t="n"/>
      <c r="F958" s="548" t="n"/>
    </row>
    <row r="959">
      <c r="A959" s="547" t="n"/>
      <c r="B959" s="548" t="n"/>
      <c r="C959" s="511" t="n"/>
      <c r="D959" s="511" t="n"/>
      <c r="E959" s="511" t="n"/>
      <c r="F959" s="548" t="n"/>
    </row>
    <row r="960">
      <c r="A960" s="547" t="n"/>
      <c r="B960" s="548" t="n"/>
      <c r="C960" s="511" t="n"/>
      <c r="D960" s="511" t="n"/>
      <c r="E960" s="511" t="n"/>
      <c r="F960" s="548" t="n"/>
    </row>
    <row r="961">
      <c r="A961" s="547" t="n"/>
      <c r="B961" s="548" t="n"/>
      <c r="C961" s="511" t="n"/>
      <c r="D961" s="511" t="n"/>
      <c r="E961" s="511" t="n"/>
      <c r="F961" s="548" t="n"/>
    </row>
    <row r="962">
      <c r="A962" s="547" t="n"/>
      <c r="B962" s="548" t="n"/>
      <c r="C962" s="511" t="n"/>
      <c r="D962" s="511" t="n"/>
      <c r="E962" s="511" t="n"/>
      <c r="F962" s="548" t="n"/>
    </row>
    <row r="963">
      <c r="A963" s="547" t="n"/>
      <c r="B963" s="548" t="n"/>
      <c r="C963" s="511" t="n"/>
      <c r="D963" s="511" t="n"/>
      <c r="E963" s="511" t="n"/>
      <c r="F963" s="548" t="n"/>
    </row>
    <row r="964">
      <c r="A964" s="547" t="n"/>
      <c r="B964" s="548" t="n"/>
      <c r="C964" s="511" t="n"/>
      <c r="D964" s="511" t="n"/>
      <c r="E964" s="511" t="n"/>
      <c r="F964" s="548" t="n"/>
    </row>
    <row r="965">
      <c r="A965" s="547" t="n"/>
      <c r="B965" s="548" t="n"/>
      <c r="C965" s="511" t="n"/>
      <c r="D965" s="511" t="n"/>
      <c r="E965" s="511" t="n"/>
      <c r="F965" s="548" t="n"/>
    </row>
    <row r="966">
      <c r="A966" s="547" t="n"/>
      <c r="B966" s="548" t="n"/>
      <c r="C966" s="511" t="n"/>
      <c r="D966" s="511" t="n"/>
      <c r="E966" s="511" t="n"/>
      <c r="F966" s="548" t="n"/>
    </row>
    <row r="967">
      <c r="A967" s="547" t="n"/>
      <c r="B967" s="548" t="n"/>
      <c r="C967" s="511" t="n"/>
      <c r="D967" s="511" t="n"/>
      <c r="E967" s="511" t="n"/>
      <c r="F967" s="548" t="n"/>
    </row>
    <row r="968">
      <c r="A968" s="547" t="n"/>
      <c r="B968" s="548" t="n"/>
      <c r="C968" s="511" t="n"/>
      <c r="D968" s="511" t="n"/>
      <c r="E968" s="511" t="n"/>
      <c r="F968" s="548" t="n"/>
    </row>
    <row r="969">
      <c r="A969" s="547" t="n"/>
      <c r="B969" s="548" t="n"/>
      <c r="C969" s="511" t="n"/>
      <c r="D969" s="511" t="n"/>
      <c r="E969" s="511" t="n"/>
      <c r="F969" s="548" t="n"/>
    </row>
    <row r="970">
      <c r="A970" s="547" t="n"/>
      <c r="B970" s="548" t="n"/>
      <c r="C970" s="511" t="n"/>
      <c r="D970" s="511" t="n"/>
      <c r="E970" s="511" t="n"/>
      <c r="F970" s="548" t="n"/>
    </row>
    <row r="971">
      <c r="A971" s="547" t="n"/>
      <c r="B971" s="548" t="n"/>
      <c r="C971" s="511" t="n"/>
      <c r="D971" s="511" t="n"/>
      <c r="E971" s="511" t="n"/>
      <c r="F971" s="548" t="n"/>
    </row>
    <row r="972">
      <c r="A972" s="547" t="n"/>
      <c r="B972" s="548" t="n"/>
      <c r="C972" s="511" t="n"/>
      <c r="D972" s="511" t="n"/>
      <c r="E972" s="511" t="n"/>
      <c r="F972" s="548" t="n"/>
    </row>
    <row r="973">
      <c r="A973" s="547" t="n"/>
      <c r="B973" s="548" t="n"/>
      <c r="C973" s="511" t="n"/>
      <c r="D973" s="511" t="n"/>
      <c r="E973" s="511" t="n"/>
      <c r="F973" s="548" t="n"/>
    </row>
    <row r="974">
      <c r="A974" s="547" t="n"/>
      <c r="B974" s="548" t="n"/>
      <c r="C974" s="511" t="n"/>
      <c r="D974" s="511" t="n"/>
      <c r="E974" s="511" t="n"/>
      <c r="F974" s="548" t="n"/>
    </row>
    <row r="975">
      <c r="A975" s="547" t="n"/>
      <c r="B975" s="548" t="n"/>
      <c r="C975" s="511" t="n"/>
      <c r="D975" s="511" t="n"/>
      <c r="E975" s="511" t="n"/>
      <c r="F975" s="548" t="n"/>
    </row>
    <row r="976">
      <c r="A976" s="547" t="n"/>
      <c r="B976" s="548" t="n"/>
      <c r="C976" s="511" t="n"/>
      <c r="D976" s="511" t="n"/>
      <c r="E976" s="511" t="n"/>
      <c r="F976" s="548" t="n"/>
    </row>
    <row r="977">
      <c r="A977" s="547" t="n"/>
      <c r="B977" s="548" t="n"/>
      <c r="C977" s="511" t="n"/>
      <c r="D977" s="511" t="n"/>
      <c r="E977" s="511" t="n"/>
      <c r="F977" s="548" t="n"/>
    </row>
    <row r="978">
      <c r="A978" s="547" t="n"/>
      <c r="B978" s="548" t="n"/>
      <c r="C978" s="511" t="n"/>
      <c r="D978" s="511" t="n"/>
      <c r="E978" s="511" t="n"/>
      <c r="F978" s="548" t="n"/>
    </row>
    <row r="979">
      <c r="A979" s="547" t="n"/>
      <c r="B979" s="548" t="n"/>
      <c r="C979" s="511" t="n"/>
      <c r="D979" s="511" t="n"/>
      <c r="E979" s="511" t="n"/>
      <c r="F979" s="548" t="n"/>
    </row>
    <row r="980">
      <c r="A980" s="547" t="n"/>
      <c r="B980" s="548" t="n"/>
      <c r="C980" s="511" t="n"/>
      <c r="D980" s="511" t="n"/>
      <c r="E980" s="511" t="n"/>
      <c r="F980" s="548" t="n"/>
    </row>
    <row r="981">
      <c r="A981" s="547" t="n"/>
      <c r="B981" s="548" t="n"/>
      <c r="C981" s="511" t="n"/>
      <c r="D981" s="511" t="n"/>
      <c r="E981" s="511" t="n"/>
      <c r="F981" s="548" t="n"/>
    </row>
    <row r="982">
      <c r="A982" s="547" t="n"/>
      <c r="B982" s="548" t="n"/>
      <c r="C982" s="511" t="n"/>
      <c r="D982" s="511" t="n"/>
      <c r="E982" s="511" t="n"/>
      <c r="F982" s="548" t="n"/>
    </row>
    <row r="983">
      <c r="A983" s="547" t="n"/>
      <c r="B983" s="548" t="n"/>
      <c r="C983" s="511" t="n"/>
      <c r="D983" s="511" t="n"/>
      <c r="E983" s="511" t="n"/>
      <c r="F983" s="548" t="n"/>
    </row>
    <row r="984">
      <c r="A984" s="547" t="n"/>
      <c r="B984" s="548" t="n"/>
      <c r="C984" s="511" t="n"/>
      <c r="D984" s="511" t="n"/>
      <c r="E984" s="511" t="n"/>
      <c r="F984" s="548" t="n"/>
    </row>
    <row r="985">
      <c r="A985" s="547" t="n"/>
      <c r="B985" s="548" t="n"/>
      <c r="C985" s="511" t="n"/>
      <c r="D985" s="511" t="n"/>
      <c r="E985" s="511" t="n"/>
      <c r="F985" s="548" t="n"/>
    </row>
    <row r="986">
      <c r="A986" s="547" t="n"/>
      <c r="B986" s="548" t="n"/>
      <c r="C986" s="511" t="n"/>
      <c r="D986" s="511" t="n"/>
      <c r="E986" s="511" t="n"/>
      <c r="F986" s="548" t="n"/>
    </row>
    <row r="987">
      <c r="A987" s="547" t="n"/>
      <c r="B987" s="548" t="n"/>
      <c r="C987" s="511" t="n"/>
      <c r="D987" s="511" t="n"/>
      <c r="E987" s="511" t="n"/>
      <c r="F987" s="548" t="n"/>
    </row>
    <row r="988">
      <c r="A988" s="547" t="n"/>
      <c r="B988" s="548" t="n"/>
      <c r="C988" s="511" t="n"/>
      <c r="D988" s="511" t="n"/>
      <c r="E988" s="511" t="n"/>
      <c r="F988" s="548" t="n"/>
    </row>
    <row r="989">
      <c r="A989" s="547" t="n"/>
      <c r="B989" s="548" t="n"/>
      <c r="C989" s="511" t="n"/>
      <c r="D989" s="511" t="n"/>
      <c r="E989" s="511" t="n"/>
      <c r="F989" s="548" t="n"/>
    </row>
    <row r="990">
      <c r="A990" s="547" t="n"/>
      <c r="B990" s="548" t="n"/>
      <c r="C990" s="511" t="n"/>
      <c r="D990" s="511" t="n"/>
      <c r="E990" s="511" t="n"/>
      <c r="F990" s="548" t="n"/>
    </row>
    <row r="991">
      <c r="A991" s="547" t="n"/>
      <c r="B991" s="548" t="n"/>
      <c r="C991" s="511" t="n"/>
      <c r="D991" s="511" t="n"/>
      <c r="E991" s="511" t="n"/>
      <c r="F991" s="548" t="n"/>
    </row>
    <row r="992">
      <c r="A992" s="547" t="n"/>
      <c r="B992" s="548" t="n"/>
      <c r="C992" s="511" t="n"/>
      <c r="D992" s="511" t="n"/>
      <c r="E992" s="511" t="n"/>
      <c r="F992" s="548" t="n"/>
    </row>
    <row r="993">
      <c r="A993" s="547" t="n"/>
      <c r="B993" s="548" t="n"/>
      <c r="C993" s="511" t="n"/>
      <c r="D993" s="511" t="n"/>
      <c r="E993" s="511" t="n"/>
      <c r="F993" s="548" t="n"/>
    </row>
    <row r="994">
      <c r="A994" s="547" t="n"/>
      <c r="B994" s="548" t="n"/>
      <c r="C994" s="511" t="n"/>
      <c r="D994" s="511" t="n"/>
      <c r="E994" s="511" t="n"/>
      <c r="F994" s="548" t="n"/>
    </row>
    <row r="995">
      <c r="A995" s="547" t="n"/>
      <c r="B995" s="548" t="n"/>
      <c r="C995" s="511" t="n"/>
      <c r="D995" s="511" t="n"/>
      <c r="E995" s="511" t="n"/>
      <c r="F995" s="548" t="n"/>
    </row>
    <row r="996">
      <c r="A996" s="547" t="n"/>
      <c r="B996" s="548" t="n"/>
      <c r="C996" s="511" t="n"/>
      <c r="D996" s="511" t="n"/>
      <c r="E996" s="511" t="n"/>
      <c r="F996" s="548" t="n"/>
    </row>
    <row r="997">
      <c r="A997" s="547" t="n"/>
      <c r="B997" s="548" t="n"/>
      <c r="C997" s="511" t="n"/>
      <c r="D997" s="511" t="n"/>
      <c r="E997" s="511" t="n"/>
      <c r="F997" s="548" t="n"/>
    </row>
    <row r="998">
      <c r="A998" s="547" t="n"/>
      <c r="B998" s="548" t="n"/>
      <c r="C998" s="511" t="n"/>
      <c r="D998" s="511" t="n"/>
      <c r="E998" s="511" t="n"/>
      <c r="F998" s="548" t="n"/>
    </row>
    <row r="999">
      <c r="A999" s="547" t="n"/>
      <c r="B999" s="548" t="n"/>
      <c r="C999" s="511" t="n"/>
      <c r="D999" s="511" t="n"/>
      <c r="E999" s="511" t="n"/>
      <c r="F999" s="54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C3"/>
  <sheetViews>
    <sheetView workbookViewId="0">
      <selection activeCell="A1" sqref="A1"/>
    </sheetView>
  </sheetViews>
  <sheetFormatPr baseColWidth="8" defaultColWidth="12.63" defaultRowHeight="15.75" customHeight="1"/>
  <cols>
    <col width="16.75" customWidth="1" style="592" min="1" max="1"/>
    <col width="25.63" customWidth="1" style="592" min="3" max="3"/>
  </cols>
  <sheetData>
    <row r="1">
      <c r="A1" s="513" t="inlineStr">
        <is>
          <t>Ref</t>
        </is>
      </c>
      <c r="B1" s="513" t="inlineStr">
        <is>
          <t>url</t>
        </is>
      </c>
      <c r="C1" s="513" t="inlineStr">
        <is>
          <t>Activate</t>
        </is>
      </c>
    </row>
    <row r="2">
      <c r="A2" s="514" t="inlineStr">
        <is>
          <t>CodeFA-โครงการ</t>
        </is>
      </c>
      <c r="B2" s="515" t="inlineStr">
        <is>
          <t>https://docs.google.com/spreadsheets/d/1nIDy5zYDg9hGtVlnD76CI-o5uK9-d30d46_ROAe5vCk</t>
        </is>
      </c>
      <c r="C2" s="516">
        <f>IFERROR(__xludf.DUMMYFUNCTION("IMPORTRANGE(B2,""Connect!A1"")"),"Connect-FAโครงการปฏิบัติการ2570")</f>
        <v/>
      </c>
    </row>
    <row r="3">
      <c r="A3" s="514" t="inlineStr">
        <is>
          <t>CodeFP-โครงการ</t>
        </is>
      </c>
      <c r="B3" s="515" t="inlineStr">
        <is>
          <t>https://docs.google.com/spreadsheets/d/1g0zhpY87_t0kJRtMWN7xBQyYfoOAT1zgquATLTlLBNo</t>
        </is>
      </c>
      <c r="C3" s="516">
        <f>IFERROR(__xludf.DUMMYFUNCTION("IMPORTRANGE(B3,""Connect!A1"")"),"Connect-FPโครงการปฏิบัติการ2570")</f>
        <v/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X4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.88" customWidth="1" style="592" min="1" max="1"/>
    <col width="4.5" customWidth="1" style="592" min="2" max="2"/>
    <col width="4.63" customWidth="1" style="592" min="3" max="3"/>
    <col width="10" customWidth="1" style="592" min="4" max="4"/>
    <col width="6.25" customWidth="1" style="592" min="5" max="5"/>
    <col width="17.13" customWidth="1" style="592" min="6" max="6"/>
    <col width="2.88" customWidth="1" style="592" min="7" max="7"/>
    <col width="2" customWidth="1" style="592" min="8" max="8"/>
    <col width="6.25" customWidth="1" style="592" min="9" max="9"/>
    <col width="5.88" customWidth="1" style="592" min="10" max="10"/>
    <col width="27.25" customWidth="1" style="592" min="11" max="11"/>
    <col width="7.63" customWidth="1" style="592" min="12" max="12"/>
    <col width="6.75" customWidth="1" style="592" min="13" max="13"/>
    <col width="6.5" customWidth="1" style="592" min="14" max="14"/>
    <col width="9.880000000000001" customWidth="1" style="592" min="15" max="15"/>
    <col width="9" customWidth="1" style="592" min="16" max="16"/>
    <col width="2.88" customWidth="1" style="592" min="17" max="17"/>
    <col width="13.88" customWidth="1" style="592" min="18" max="18"/>
    <col width="2.88" customWidth="1" style="592" min="19" max="19"/>
    <col width="2" customWidth="1" style="592" min="20" max="21"/>
    <col width="11.63" customWidth="1" style="592" min="22" max="24"/>
  </cols>
  <sheetData>
    <row r="1">
      <c r="A1" s="517" t="inlineStr">
        <is>
          <t>วัน</t>
        </is>
      </c>
      <c r="B1" s="517" t="inlineStr">
        <is>
          <t>เดือน</t>
        </is>
      </c>
      <c r="C1" s="517" t="inlineStr">
        <is>
          <t>ปี</t>
        </is>
      </c>
      <c r="D1" s="518" t="inlineStr">
        <is>
          <t>แผนดำเนิงาน</t>
        </is>
      </c>
      <c r="E1" s="528" t="n"/>
      <c r="F1" s="518" t="inlineStr">
        <is>
          <t>ลักษณะโครงการ</t>
        </is>
      </c>
      <c r="G1" s="520" t="n"/>
      <c r="H1" s="520" t="n"/>
      <c r="I1" s="528" t="n"/>
      <c r="J1" s="521" t="n"/>
      <c r="K1" s="518" t="inlineStr">
        <is>
          <t>งาน</t>
        </is>
      </c>
      <c r="L1" s="518" t="n"/>
      <c r="M1" s="518" t="inlineStr">
        <is>
          <t>แผนงาน</t>
        </is>
      </c>
      <c r="N1" s="518" t="inlineStr">
        <is>
          <t>ประเภทโครงการ</t>
        </is>
      </c>
      <c r="O1" s="518" t="inlineStr">
        <is>
          <t>กลุ่มโครงการ</t>
        </is>
      </c>
      <c r="P1" s="518" t="n"/>
      <c r="Q1" s="522" t="n"/>
      <c r="R1" s="518" t="inlineStr">
        <is>
          <t>แผนงาน</t>
        </is>
      </c>
      <c r="S1" s="522" t="n"/>
      <c r="T1" s="523" t="n"/>
      <c r="U1" s="523" t="n"/>
      <c r="V1" s="524" t="inlineStr">
        <is>
          <t>Funds</t>
        </is>
      </c>
      <c r="W1" s="524" t="inlineStr">
        <is>
          <t>กองทุน</t>
        </is>
      </c>
      <c r="X1" s="524" t="inlineStr">
        <is>
          <t>Funds</t>
        </is>
      </c>
    </row>
    <row r="2">
      <c r="A2" s="525" t="inlineStr">
        <is>
          <t>01</t>
        </is>
      </c>
      <c r="B2" s="525" t="inlineStr">
        <is>
          <t>01</t>
        </is>
      </c>
      <c r="C2" s="525" t="inlineStr">
        <is>
          <t>2026</t>
        </is>
      </c>
      <c r="D2" s="526" t="inlineStr">
        <is>
          <t>ต.ค.69</t>
        </is>
      </c>
      <c r="E2" s="525" t="n"/>
      <c r="F2" s="527" t="inlineStr">
        <is>
          <t>รายปี</t>
        </is>
      </c>
      <c r="G2" s="525" t="inlineStr">
        <is>
          <t>01</t>
        </is>
      </c>
      <c r="H2" s="528" t="inlineStr">
        <is>
          <t>A</t>
        </is>
      </c>
      <c r="I2" s="525" t="n"/>
      <c r="J2" s="529" t="inlineStr">
        <is>
          <t>01100</t>
        </is>
      </c>
      <c r="K2" s="526" t="inlineStr">
        <is>
          <t>งานจัดการศึกษาสำนักวิชา</t>
        </is>
      </c>
      <c r="L2" s="525" t="inlineStr">
        <is>
          <t>01100</t>
        </is>
      </c>
      <c r="M2" s="525" t="inlineStr">
        <is>
          <t>01</t>
        </is>
      </c>
      <c r="N2" s="525" t="inlineStr">
        <is>
          <t>1</t>
        </is>
      </c>
      <c r="O2" s="525" t="inlineStr">
        <is>
          <t>1Z</t>
        </is>
      </c>
      <c r="P2" s="525" t="inlineStr">
        <is>
          <t>01100</t>
        </is>
      </c>
      <c r="Q2" s="525" t="inlineStr">
        <is>
          <t>01</t>
        </is>
      </c>
      <c r="R2" s="527" t="inlineStr">
        <is>
          <t>แผนงานการเรียนการสอน</t>
        </is>
      </c>
      <c r="S2" s="525" t="inlineStr">
        <is>
          <t>01</t>
        </is>
      </c>
      <c r="T2" s="528" t="n">
        <v>1</v>
      </c>
      <c r="U2" s="528" t="n"/>
      <c r="V2" s="530" t="inlineStr">
        <is>
          <t>201000</t>
        </is>
      </c>
      <c r="W2" s="531" t="inlineStr">
        <is>
          <t>กองทุนทั่วไป</t>
        </is>
      </c>
      <c r="X2" s="530" t="inlineStr">
        <is>
          <t>201000</t>
        </is>
      </c>
    </row>
    <row r="3">
      <c r="A3" s="525" t="inlineStr">
        <is>
          <t>02</t>
        </is>
      </c>
      <c r="B3" s="525" t="inlineStr">
        <is>
          <t>02</t>
        </is>
      </c>
      <c r="C3" s="525" t="inlineStr">
        <is>
          <t>2027</t>
        </is>
      </c>
      <c r="D3" s="526" t="inlineStr">
        <is>
          <t>พ.ย.69</t>
        </is>
      </c>
      <c r="E3" s="525" t="n"/>
      <c r="F3" s="527" t="inlineStr">
        <is>
          <t>โครงการต่อเนื่อง</t>
        </is>
      </c>
      <c r="G3" s="525" t="inlineStr">
        <is>
          <t>21</t>
        </is>
      </c>
      <c r="H3" s="528" t="inlineStr">
        <is>
          <t>P</t>
        </is>
      </c>
      <c r="I3" s="525" t="n"/>
      <c r="J3" s="529" t="inlineStr">
        <is>
          <t>01102</t>
        </is>
      </c>
      <c r="K3" s="526" t="inlineStr">
        <is>
          <t>งานสนับสนุนการจัดการศึกษา</t>
        </is>
      </c>
      <c r="L3" s="525" t="inlineStr">
        <is>
          <t>01102</t>
        </is>
      </c>
      <c r="M3" s="525" t="inlineStr">
        <is>
          <t>01</t>
        </is>
      </c>
      <c r="N3" s="525" t="inlineStr">
        <is>
          <t>1</t>
        </is>
      </c>
      <c r="O3" s="525" t="inlineStr">
        <is>
          <t>1Z</t>
        </is>
      </c>
      <c r="P3" s="525" t="inlineStr">
        <is>
          <t>01102</t>
        </is>
      </c>
      <c r="Q3" s="525" t="inlineStr">
        <is>
          <t>02</t>
        </is>
      </c>
      <c r="R3" s="527" t="inlineStr">
        <is>
          <t>แผนงานวิจัย</t>
        </is>
      </c>
      <c r="S3" s="525" t="inlineStr">
        <is>
          <t>02</t>
        </is>
      </c>
      <c r="T3" s="528" t="n">
        <v>2</v>
      </c>
      <c r="U3" s="528" t="n"/>
      <c r="V3" s="530" t="inlineStr">
        <is>
          <t>202000</t>
        </is>
      </c>
      <c r="W3" s="531" t="inlineStr">
        <is>
          <t>กองทุนเพื่อการศึกษา</t>
        </is>
      </c>
      <c r="X3" s="530" t="inlineStr">
        <is>
          <t>202000</t>
        </is>
      </c>
    </row>
    <row r="4">
      <c r="A4" s="525" t="inlineStr">
        <is>
          <t>03</t>
        </is>
      </c>
      <c r="B4" s="525" t="inlineStr">
        <is>
          <t>03</t>
        </is>
      </c>
      <c r="C4" s="528" t="n"/>
      <c r="D4" s="526" t="inlineStr">
        <is>
          <t>ธ.ค.69</t>
        </is>
      </c>
      <c r="E4" s="525" t="n"/>
      <c r="F4" s="527" t="inlineStr">
        <is>
          <t>โครงการงบประมาณแผ่นดิน</t>
        </is>
      </c>
      <c r="G4" s="525" t="inlineStr">
        <is>
          <t>31</t>
        </is>
      </c>
      <c r="H4" s="528" t="inlineStr">
        <is>
          <t>T</t>
        </is>
      </c>
      <c r="I4" s="525" t="n"/>
      <c r="J4" s="529" t="inlineStr">
        <is>
          <t>01103</t>
        </is>
      </c>
      <c r="K4" s="526" t="inlineStr">
        <is>
          <t>งานบริหารและจัดการหลักสูตรพิเศษ</t>
        </is>
      </c>
      <c r="L4" s="525" t="inlineStr">
        <is>
          <t>01103</t>
        </is>
      </c>
      <c r="M4" s="525" t="inlineStr">
        <is>
          <t>01</t>
        </is>
      </c>
      <c r="N4" s="525" t="inlineStr">
        <is>
          <t>1</t>
        </is>
      </c>
      <c r="O4" s="525" t="inlineStr">
        <is>
          <t>1Z</t>
        </is>
      </c>
      <c r="P4" s="525" t="inlineStr">
        <is>
          <t>01103</t>
        </is>
      </c>
      <c r="Q4" s="525" t="inlineStr">
        <is>
          <t>03</t>
        </is>
      </c>
      <c r="R4" s="527" t="inlineStr">
        <is>
          <t>แผนงานบริการวิชาการแก่สังคม</t>
        </is>
      </c>
      <c r="S4" s="525" t="inlineStr">
        <is>
          <t>03</t>
        </is>
      </c>
      <c r="T4" s="528" t="n">
        <v>3</v>
      </c>
      <c r="U4" s="528" t="n"/>
      <c r="V4" s="530" t="inlineStr">
        <is>
          <t>203000</t>
        </is>
      </c>
      <c r="W4" s="531" t="inlineStr">
        <is>
          <t>กองทุนวิจัย</t>
        </is>
      </c>
      <c r="X4" s="530" t="inlineStr">
        <is>
          <t>203000</t>
        </is>
      </c>
    </row>
    <row r="5">
      <c r="A5" s="525" t="inlineStr">
        <is>
          <t>04</t>
        </is>
      </c>
      <c r="B5" s="525" t="inlineStr">
        <is>
          <t>04</t>
        </is>
      </c>
      <c r="C5" s="532" t="n"/>
      <c r="D5" s="533" t="inlineStr">
        <is>
          <t>ม.ค.70</t>
        </is>
      </c>
      <c r="E5" s="525" t="n"/>
      <c r="F5" s="534" t="n"/>
      <c r="G5" s="534" t="n"/>
      <c r="H5" s="534" t="n"/>
      <c r="I5" s="525" t="n"/>
      <c r="J5" s="529" t="inlineStr">
        <is>
          <t>01104</t>
        </is>
      </c>
      <c r="K5" s="526" t="inlineStr">
        <is>
          <t>งานพัฒนาความสัมพันธ์ระหว่างประเทศ</t>
        </is>
      </c>
      <c r="L5" s="525" t="inlineStr">
        <is>
          <t>01104</t>
        </is>
      </c>
      <c r="M5" s="525" t="inlineStr">
        <is>
          <t>01</t>
        </is>
      </c>
      <c r="N5" s="525" t="inlineStr">
        <is>
          <t>1</t>
        </is>
      </c>
      <c r="O5" s="525" t="inlineStr">
        <is>
          <t>1Z</t>
        </is>
      </c>
      <c r="P5" s="525" t="inlineStr">
        <is>
          <t>01104</t>
        </is>
      </c>
      <c r="Q5" s="525" t="inlineStr">
        <is>
          <t>04</t>
        </is>
      </c>
      <c r="R5" s="527" t="inlineStr">
        <is>
          <t>แผนงานศาสนา ศิลปวัฒนธรรมและสิ่งแวดล้อม</t>
        </is>
      </c>
      <c r="S5" s="525" t="inlineStr">
        <is>
          <t>04</t>
        </is>
      </c>
      <c r="T5" s="528" t="n">
        <v>4</v>
      </c>
      <c r="U5" s="528" t="n"/>
      <c r="V5" s="530" t="inlineStr">
        <is>
          <t>204000</t>
        </is>
      </c>
      <c r="W5" s="531" t="inlineStr">
        <is>
          <t>กองทุนบริการวิชาการแก่สังคม</t>
        </is>
      </c>
      <c r="X5" s="530" t="inlineStr">
        <is>
          <t>204000</t>
        </is>
      </c>
    </row>
    <row r="6">
      <c r="A6" s="525" t="inlineStr">
        <is>
          <t>05</t>
        </is>
      </c>
      <c r="B6" s="525" t="inlineStr">
        <is>
          <t>05</t>
        </is>
      </c>
      <c r="C6" s="532" t="n"/>
      <c r="D6" s="533" t="inlineStr">
        <is>
          <t>ก.พ.70</t>
        </is>
      </c>
      <c r="E6" s="525" t="n"/>
      <c r="F6" s="534" t="n"/>
      <c r="G6" s="534" t="n"/>
      <c r="H6" s="534" t="n"/>
      <c r="I6" s="525" t="n"/>
      <c r="J6" s="529" t="inlineStr">
        <is>
          <t>01105</t>
        </is>
      </c>
      <c r="K6" s="526" t="inlineStr">
        <is>
          <t>งานพัฒนาทักษะนักศึกษา</t>
        </is>
      </c>
      <c r="L6" s="525" t="inlineStr">
        <is>
          <t>01105</t>
        </is>
      </c>
      <c r="M6" s="525" t="inlineStr">
        <is>
          <t>01</t>
        </is>
      </c>
      <c r="N6" s="525" t="inlineStr">
        <is>
          <t>1</t>
        </is>
      </c>
      <c r="O6" s="525" t="inlineStr">
        <is>
          <t>1Z</t>
        </is>
      </c>
      <c r="P6" s="525" t="inlineStr">
        <is>
          <t>01105</t>
        </is>
      </c>
      <c r="Q6" s="525" t="inlineStr">
        <is>
          <t>05</t>
        </is>
      </c>
      <c r="R6" s="527" t="inlineStr">
        <is>
          <t>แผนงานสนับสนุนวิชาการ</t>
        </is>
      </c>
      <c r="S6" s="525" t="inlineStr">
        <is>
          <t>05</t>
        </is>
      </c>
      <c r="T6" s="528" t="n">
        <v>5</v>
      </c>
      <c r="U6" s="528" t="n"/>
      <c r="V6" s="530" t="inlineStr">
        <is>
          <t>205000</t>
        </is>
      </c>
      <c r="W6" s="531" t="inlineStr">
        <is>
          <t>กองทุนสินทรัพย์ถาวร</t>
        </is>
      </c>
      <c r="X6" s="530" t="inlineStr">
        <is>
          <t>205000</t>
        </is>
      </c>
    </row>
    <row r="7">
      <c r="A7" s="525" t="inlineStr">
        <is>
          <t>06</t>
        </is>
      </c>
      <c r="B7" s="525" t="inlineStr">
        <is>
          <t>06</t>
        </is>
      </c>
      <c r="C7" s="532" t="n"/>
      <c r="D7" s="533" t="inlineStr">
        <is>
          <t>มี.ค.70</t>
        </is>
      </c>
      <c r="E7" s="525" t="n"/>
      <c r="F7" s="534" t="n"/>
      <c r="G7" s="534" t="n"/>
      <c r="H7" s="534" t="n"/>
      <c r="I7" s="525" t="n"/>
      <c r="J7" s="529" t="inlineStr">
        <is>
          <t>02201</t>
        </is>
      </c>
      <c r="K7" s="526" t="inlineStr">
        <is>
          <t>งานวิจัย พัฒนาและถ่ายทอดเทคโนโลยี</t>
        </is>
      </c>
      <c r="L7" s="525" t="inlineStr">
        <is>
          <t>02201</t>
        </is>
      </c>
      <c r="M7" s="525" t="inlineStr">
        <is>
          <t>02</t>
        </is>
      </c>
      <c r="N7" s="525" t="inlineStr">
        <is>
          <t>2</t>
        </is>
      </c>
      <c r="O7" s="525" t="inlineStr">
        <is>
          <t>2Z</t>
        </is>
      </c>
      <c r="P7" s="525" t="inlineStr">
        <is>
          <t>02201</t>
        </is>
      </c>
      <c r="Q7" s="525" t="inlineStr">
        <is>
          <t>06</t>
        </is>
      </c>
      <c r="R7" s="527" t="inlineStr">
        <is>
          <t>แผนงานบริหารมหาวิทยาลัย</t>
        </is>
      </c>
      <c r="S7" s="525" t="inlineStr">
        <is>
          <t>06</t>
        </is>
      </c>
      <c r="T7" s="528" t="n">
        <v>6</v>
      </c>
      <c r="U7" s="528" t="n"/>
      <c r="V7" s="530" t="inlineStr">
        <is>
          <t>206000</t>
        </is>
      </c>
      <c r="W7" s="531" t="inlineStr">
        <is>
          <t>กองทุนกิจกรรมนักศึกษา</t>
        </is>
      </c>
      <c r="X7" s="530" t="inlineStr">
        <is>
          <t>206000</t>
        </is>
      </c>
    </row>
    <row r="8">
      <c r="A8" s="525" t="inlineStr">
        <is>
          <t>07</t>
        </is>
      </c>
      <c r="B8" s="525" t="inlineStr">
        <is>
          <t>07</t>
        </is>
      </c>
      <c r="C8" s="532" t="n"/>
      <c r="D8" s="533" t="inlineStr">
        <is>
          <t>เม.ย.70</t>
        </is>
      </c>
      <c r="E8" s="525" t="n"/>
      <c r="F8" s="534" t="n"/>
      <c r="G8" s="534" t="n"/>
      <c r="H8" s="534" t="n"/>
      <c r="I8" s="525" t="n"/>
      <c r="J8" s="529" t="inlineStr">
        <is>
          <t>02202</t>
        </is>
      </c>
      <c r="K8" s="526" t="inlineStr">
        <is>
          <t>หน่วยวิจัยเฉพาะทาง</t>
        </is>
      </c>
      <c r="L8" s="525" t="inlineStr">
        <is>
          <t>02202</t>
        </is>
      </c>
      <c r="M8" s="525" t="inlineStr">
        <is>
          <t>02</t>
        </is>
      </c>
      <c r="N8" s="525" t="inlineStr">
        <is>
          <t>2</t>
        </is>
      </c>
      <c r="O8" s="525" t="inlineStr">
        <is>
          <t>2Z</t>
        </is>
      </c>
      <c r="P8" s="525" t="inlineStr">
        <is>
          <t>02202</t>
        </is>
      </c>
      <c r="Q8" s="525" t="inlineStr">
        <is>
          <t>07</t>
        </is>
      </c>
      <c r="R8" s="527" t="inlineStr">
        <is>
          <t>แผนงานบริการสุขภาพแก่สังคม</t>
        </is>
      </c>
      <c r="S8" s="525" t="inlineStr">
        <is>
          <t>07</t>
        </is>
      </c>
      <c r="T8" s="528" t="n">
        <v>7</v>
      </c>
      <c r="U8" s="528" t="n"/>
      <c r="V8" s="530" t="inlineStr">
        <is>
          <t>207001</t>
        </is>
      </c>
      <c r="W8" s="531" t="inlineStr">
        <is>
          <t>กองทุนทำนุบำรุงศิลปวัฒนธรรม</t>
        </is>
      </c>
      <c r="X8" s="530" t="inlineStr">
        <is>
          <t>207001</t>
        </is>
      </c>
    </row>
    <row r="9">
      <c r="A9" s="525" t="inlineStr">
        <is>
          <t>08</t>
        </is>
      </c>
      <c r="B9" s="525" t="inlineStr">
        <is>
          <t>08</t>
        </is>
      </c>
      <c r="C9" s="532" t="n"/>
      <c r="D9" s="533" t="inlineStr">
        <is>
          <t>พ.ค.70</t>
        </is>
      </c>
      <c r="E9" s="525" t="n"/>
      <c r="F9" s="521" t="n"/>
      <c r="G9" s="528" t="n"/>
      <c r="H9" s="528" t="n"/>
      <c r="I9" s="525" t="n"/>
      <c r="J9" s="529" t="inlineStr">
        <is>
          <t>03301</t>
        </is>
      </c>
      <c r="K9" s="526" t="inlineStr">
        <is>
          <t>งานบริการวิชาการแก่สังคม</t>
        </is>
      </c>
      <c r="L9" s="525" t="inlineStr">
        <is>
          <t>03301</t>
        </is>
      </c>
      <c r="M9" s="525" t="inlineStr">
        <is>
          <t>03</t>
        </is>
      </c>
      <c r="N9" s="525" t="inlineStr">
        <is>
          <t>3</t>
        </is>
      </c>
      <c r="O9" s="525" t="inlineStr">
        <is>
          <t>3Z</t>
        </is>
      </c>
      <c r="P9" s="525" t="inlineStr">
        <is>
          <t>03301</t>
        </is>
      </c>
      <c r="Q9" s="534" t="n"/>
      <c r="R9" s="534" t="n"/>
      <c r="S9" s="534" t="n"/>
      <c r="T9" s="534" t="n"/>
      <c r="U9" s="534" t="n"/>
      <c r="V9" s="530" t="inlineStr">
        <is>
          <t>207002</t>
        </is>
      </c>
      <c r="W9" s="531" t="inlineStr">
        <is>
          <t>กองทุนบริการสุขภาพแก่สังคม</t>
        </is>
      </c>
      <c r="X9" s="530" t="inlineStr">
        <is>
          <t>207002</t>
        </is>
      </c>
    </row>
    <row r="10">
      <c r="A10" s="525" t="inlineStr">
        <is>
          <t>09</t>
        </is>
      </c>
      <c r="B10" s="525" t="inlineStr">
        <is>
          <t>09</t>
        </is>
      </c>
      <c r="C10" s="532" t="n"/>
      <c r="D10" s="533" t="inlineStr">
        <is>
          <t>มิ.ย.70</t>
        </is>
      </c>
      <c r="E10" s="525" t="n"/>
      <c r="F10" s="518" t="inlineStr">
        <is>
          <t>ลักษณะงาน</t>
        </is>
      </c>
      <c r="G10" s="535" t="n"/>
      <c r="H10" s="535" t="n"/>
      <c r="I10" s="525" t="n"/>
      <c r="J10" s="529" t="inlineStr">
        <is>
          <t>04401</t>
        </is>
      </c>
      <c r="K10" s="526" t="inlineStr">
        <is>
          <t>งานทำนุบำรุง ศิลปวัฒนธรรมและสิ่งแวดล้อม</t>
        </is>
      </c>
      <c r="L10" s="525" t="inlineStr">
        <is>
          <t>04401</t>
        </is>
      </c>
      <c r="M10" s="525" t="inlineStr">
        <is>
          <t>04</t>
        </is>
      </c>
      <c r="N10" s="525" t="inlineStr">
        <is>
          <t>4</t>
        </is>
      </c>
      <c r="O10" s="525" t="inlineStr">
        <is>
          <t>4Z</t>
        </is>
      </c>
      <c r="P10" s="525" t="inlineStr">
        <is>
          <t>04401</t>
        </is>
      </c>
      <c r="Q10" s="534" t="n"/>
      <c r="R10" s="534" t="n"/>
      <c r="S10" s="534" t="n"/>
      <c r="T10" s="534" t="n"/>
      <c r="U10" s="534" t="n"/>
      <c r="V10" s="530" t="inlineStr">
        <is>
          <t>207003</t>
        </is>
      </c>
      <c r="W10" s="531" t="inlineStr">
        <is>
          <t>กองทุนส่งเสริมการพัฒนาบุคลากร</t>
        </is>
      </c>
      <c r="X10" s="530" t="inlineStr">
        <is>
          <t>207003</t>
        </is>
      </c>
    </row>
    <row r="11">
      <c r="A11" s="525" t="inlineStr">
        <is>
          <t>10</t>
        </is>
      </c>
      <c r="B11" s="525" t="inlineStr">
        <is>
          <t>10</t>
        </is>
      </c>
      <c r="C11" s="532" t="n"/>
      <c r="D11" s="533" t="inlineStr">
        <is>
          <t>ก.ค.70</t>
        </is>
      </c>
      <c r="E11" s="525" t="n"/>
      <c r="F11" s="527" t="inlineStr">
        <is>
          <t>รายปี-ต้นปี</t>
        </is>
      </c>
      <c r="G11" s="525" t="inlineStr">
        <is>
          <t>01</t>
        </is>
      </c>
      <c r="H11" s="528" t="inlineStr">
        <is>
          <t>B</t>
        </is>
      </c>
      <c r="I11" s="525" t="n"/>
      <c r="J11" s="529" t="inlineStr">
        <is>
          <t>05501</t>
        </is>
      </c>
      <c r="K11" s="526" t="inlineStr">
        <is>
          <t>งานบริการเครื่องมือวิทยาศาสตร์และเทคโนโลยี</t>
        </is>
      </c>
      <c r="L11" s="525" t="inlineStr">
        <is>
          <t>05501</t>
        </is>
      </c>
      <c r="M11" s="525" t="inlineStr">
        <is>
          <t>05</t>
        </is>
      </c>
      <c r="N11" s="525" t="inlineStr">
        <is>
          <t>5</t>
        </is>
      </c>
      <c r="O11" s="525" t="inlineStr">
        <is>
          <t>5Z</t>
        </is>
      </c>
      <c r="P11" s="525" t="inlineStr">
        <is>
          <t>05501</t>
        </is>
      </c>
      <c r="Q11" s="534" t="n"/>
      <c r="R11" s="534" t="n"/>
      <c r="S11" s="534" t="n"/>
      <c r="T11" s="534" t="n"/>
      <c r="U11" s="534" t="n"/>
      <c r="V11" s="530" t="inlineStr">
        <is>
          <t>207999</t>
        </is>
      </c>
      <c r="W11" s="531" t="inlineStr">
        <is>
          <t>กองทุนสำรองทั่วไป</t>
        </is>
      </c>
      <c r="X11" s="530" t="inlineStr">
        <is>
          <t>207999</t>
        </is>
      </c>
    </row>
    <row r="12">
      <c r="A12" s="525" t="inlineStr">
        <is>
          <t>11</t>
        </is>
      </c>
      <c r="B12" s="525" t="inlineStr">
        <is>
          <t>11</t>
        </is>
      </c>
      <c r="C12" s="532" t="n"/>
      <c r="D12" s="533" t="inlineStr">
        <is>
          <t>ส.ค.70</t>
        </is>
      </c>
      <c r="E12" s="525" t="n"/>
      <c r="F12" s="527" t="inlineStr">
        <is>
          <t>รายปี-ระหว่างปี</t>
        </is>
      </c>
      <c r="G12" s="525" t="inlineStr">
        <is>
          <t>03</t>
        </is>
      </c>
      <c r="H12" s="528" t="inlineStr">
        <is>
          <t>B</t>
        </is>
      </c>
      <c r="I12" s="525" t="n"/>
      <c r="J12" s="529" t="inlineStr">
        <is>
          <t>05502</t>
        </is>
      </c>
      <c r="K12" s="526" t="inlineStr">
        <is>
          <t>งานบริการห้องสมุดและสื่อการศึกษา</t>
        </is>
      </c>
      <c r="L12" s="525" t="inlineStr">
        <is>
          <t>05502</t>
        </is>
      </c>
      <c r="M12" s="525" t="inlineStr">
        <is>
          <t>05</t>
        </is>
      </c>
      <c r="N12" s="525" t="inlineStr">
        <is>
          <t>5</t>
        </is>
      </c>
      <c r="O12" s="525" t="inlineStr">
        <is>
          <t>5Z</t>
        </is>
      </c>
      <c r="P12" s="525" t="inlineStr">
        <is>
          <t>05502</t>
        </is>
      </c>
      <c r="Q12" s="534" t="n"/>
      <c r="R12" s="534" t="n"/>
      <c r="S12" s="534" t="n"/>
      <c r="T12" s="534" t="n"/>
      <c r="U12" s="534" t="n"/>
      <c r="V12" s="534" t="n"/>
      <c r="W12" s="534" t="n"/>
      <c r="X12" s="534" t="n"/>
    </row>
    <row r="13">
      <c r="A13" s="525" t="inlineStr">
        <is>
          <t>12</t>
        </is>
      </c>
      <c r="B13" s="525" t="inlineStr">
        <is>
          <t>12</t>
        </is>
      </c>
      <c r="C13" s="532" t="n"/>
      <c r="D13" s="533" t="inlineStr">
        <is>
          <t>ก.ย.70</t>
        </is>
      </c>
      <c r="E13" s="525" t="n"/>
      <c r="F13" s="527" t="inlineStr">
        <is>
          <t>งานภายใต้งบประมาณแผ่นดิน</t>
        </is>
      </c>
      <c r="G13" s="525" t="inlineStr">
        <is>
          <t>32</t>
        </is>
      </c>
      <c r="H13" s="528" t="inlineStr">
        <is>
          <t>U</t>
        </is>
      </c>
      <c r="I13" s="525" t="n"/>
      <c r="J13" s="529" t="inlineStr">
        <is>
          <t>05503</t>
        </is>
      </c>
      <c r="K13" s="526" t="inlineStr">
        <is>
          <t>งานบริการเทคโนโลยีสารสนเทศ</t>
        </is>
      </c>
      <c r="L13" s="525" t="inlineStr">
        <is>
          <t>05503</t>
        </is>
      </c>
      <c r="M13" s="525" t="inlineStr">
        <is>
          <t>05</t>
        </is>
      </c>
      <c r="N13" s="525" t="inlineStr">
        <is>
          <t>5</t>
        </is>
      </c>
      <c r="O13" s="525" t="inlineStr">
        <is>
          <t>5Z</t>
        </is>
      </c>
      <c r="P13" s="525" t="inlineStr">
        <is>
          <t>05503</t>
        </is>
      </c>
      <c r="Q13" s="534" t="n"/>
      <c r="R13" s="534" t="n"/>
      <c r="S13" s="534" t="n"/>
      <c r="T13" s="534" t="n"/>
      <c r="U13" s="534" t="n"/>
      <c r="V13" s="534" t="n"/>
      <c r="W13" s="534" t="n"/>
      <c r="X13" s="534" t="n"/>
    </row>
    <row r="14">
      <c r="A14" s="525" t="inlineStr">
        <is>
          <t>13</t>
        </is>
      </c>
      <c r="B14" s="528" t="n"/>
      <c r="C14" s="528" t="n"/>
      <c r="D14" s="521" t="n"/>
      <c r="E14" s="525" t="n"/>
      <c r="F14" s="521" t="n"/>
      <c r="G14" s="528" t="n"/>
      <c r="H14" s="528" t="n"/>
      <c r="I14" s="525" t="n"/>
      <c r="J14" s="529" t="inlineStr">
        <is>
          <t>06601</t>
        </is>
      </c>
      <c r="K14" s="526" t="inlineStr">
        <is>
          <t>งานบริหารทั่วไป</t>
        </is>
      </c>
      <c r="L14" s="525" t="inlineStr">
        <is>
          <t>06601</t>
        </is>
      </c>
      <c r="M14" s="525" t="inlineStr">
        <is>
          <t>06</t>
        </is>
      </c>
      <c r="N14" s="525" t="inlineStr">
        <is>
          <t>6</t>
        </is>
      </c>
      <c r="O14" s="525" t="inlineStr">
        <is>
          <t>6Z</t>
        </is>
      </c>
      <c r="P14" s="525" t="inlineStr">
        <is>
          <t>06601</t>
        </is>
      </c>
      <c r="Q14" s="534" t="n"/>
      <c r="R14" s="534" t="n"/>
      <c r="S14" s="534" t="n"/>
      <c r="T14" s="534" t="n"/>
      <c r="U14" s="534" t="n"/>
      <c r="V14" s="534" t="n"/>
      <c r="W14" s="534" t="n"/>
      <c r="X14" s="534" t="n"/>
    </row>
    <row r="15">
      <c r="A15" s="525" t="inlineStr">
        <is>
          <t>14</t>
        </is>
      </c>
      <c r="B15" s="528" t="n"/>
      <c r="C15" s="532" t="n"/>
      <c r="D15" s="534" t="n"/>
      <c r="E15" s="525" t="n"/>
      <c r="F15" s="534" t="n"/>
      <c r="G15" s="528" t="n"/>
      <c r="H15" s="528" t="n"/>
      <c r="I15" s="525" t="n"/>
      <c r="J15" s="529" t="inlineStr">
        <is>
          <t>06602</t>
        </is>
      </c>
      <c r="K15" s="526" t="inlineStr">
        <is>
          <t>งานจัดหารายได้</t>
        </is>
      </c>
      <c r="L15" s="525" t="inlineStr">
        <is>
          <t>06602</t>
        </is>
      </c>
      <c r="M15" s="525" t="inlineStr">
        <is>
          <t>06</t>
        </is>
      </c>
      <c r="N15" s="525" t="inlineStr">
        <is>
          <t>6</t>
        </is>
      </c>
      <c r="O15" s="525" t="inlineStr">
        <is>
          <t>6Z</t>
        </is>
      </c>
      <c r="P15" s="525" t="inlineStr">
        <is>
          <t>06602</t>
        </is>
      </c>
      <c r="Q15" s="534" t="n"/>
      <c r="R15" s="534" t="n"/>
      <c r="S15" s="534" t="n"/>
      <c r="T15" s="534" t="n"/>
      <c r="U15" s="534" t="n"/>
      <c r="V15" s="534" t="n"/>
      <c r="W15" s="534" t="n"/>
      <c r="X15" s="534" t="n"/>
    </row>
    <row r="16">
      <c r="A16" s="525" t="inlineStr">
        <is>
          <t>15</t>
        </is>
      </c>
      <c r="B16" s="528" t="n"/>
      <c r="C16" s="532" t="n"/>
      <c r="D16" s="534" t="n"/>
      <c r="E16" s="525" t="n"/>
      <c r="F16" s="534" t="n"/>
      <c r="G16" s="534" t="n"/>
      <c r="H16" s="534" t="n"/>
      <c r="I16" s="525" t="n"/>
      <c r="J16" s="529" t="inlineStr">
        <is>
          <t>06603</t>
        </is>
      </c>
      <c r="K16" s="526" t="inlineStr">
        <is>
          <t>งานตรวจสอบภายใน</t>
        </is>
      </c>
      <c r="L16" s="525" t="inlineStr">
        <is>
          <t>06603</t>
        </is>
      </c>
      <c r="M16" s="525" t="inlineStr">
        <is>
          <t>06</t>
        </is>
      </c>
      <c r="N16" s="525" t="inlineStr">
        <is>
          <t>6</t>
        </is>
      </c>
      <c r="O16" s="525" t="inlineStr">
        <is>
          <t>6Z</t>
        </is>
      </c>
      <c r="P16" s="525" t="inlineStr">
        <is>
          <t>06603</t>
        </is>
      </c>
      <c r="Q16" s="534" t="n"/>
      <c r="R16" s="534" t="n"/>
      <c r="S16" s="534" t="n"/>
      <c r="T16" s="534" t="n"/>
      <c r="U16" s="534" t="n"/>
      <c r="V16" s="534" t="n"/>
      <c r="W16" s="534" t="n"/>
      <c r="X16" s="534" t="n"/>
    </row>
    <row r="17">
      <c r="A17" s="525" t="inlineStr">
        <is>
          <t>16</t>
        </is>
      </c>
      <c r="B17" s="528" t="n"/>
      <c r="C17" s="532" t="n"/>
      <c r="D17" s="534" t="n"/>
      <c r="E17" s="525" t="n"/>
      <c r="F17" s="534" t="n"/>
      <c r="G17" s="534" t="n"/>
      <c r="H17" s="534" t="n"/>
      <c r="I17" s="525" t="n"/>
      <c r="J17" s="529" t="inlineStr">
        <is>
          <t>06604</t>
        </is>
      </c>
      <c r="K17" s="526" t="inlineStr">
        <is>
          <t>งานกิจการสภามหาวิทยาลัย</t>
        </is>
      </c>
      <c r="L17" s="525" t="inlineStr">
        <is>
          <t>06604</t>
        </is>
      </c>
      <c r="M17" s="525" t="inlineStr">
        <is>
          <t>06</t>
        </is>
      </c>
      <c r="N17" s="525" t="inlineStr">
        <is>
          <t>6</t>
        </is>
      </c>
      <c r="O17" s="525" t="inlineStr">
        <is>
          <t>6Z</t>
        </is>
      </c>
      <c r="P17" s="525" t="inlineStr">
        <is>
          <t>06604</t>
        </is>
      </c>
      <c r="Q17" s="534" t="n"/>
      <c r="R17" s="534" t="n"/>
      <c r="S17" s="534" t="n"/>
      <c r="T17" s="534" t="n"/>
      <c r="U17" s="534" t="n"/>
      <c r="V17" s="534" t="n"/>
      <c r="W17" s="534" t="n"/>
      <c r="X17" s="534" t="n"/>
    </row>
    <row r="18">
      <c r="A18" s="525" t="inlineStr">
        <is>
          <t>17</t>
        </is>
      </c>
      <c r="B18" s="528" t="n"/>
      <c r="C18" s="532" t="n"/>
      <c r="D18" s="534" t="n"/>
      <c r="E18" s="525" t="n"/>
      <c r="F18" s="534" t="n"/>
      <c r="G18" s="534" t="n"/>
      <c r="H18" s="534" t="n"/>
      <c r="I18" s="525" t="n"/>
      <c r="J18" s="529" t="inlineStr">
        <is>
          <t>06605</t>
        </is>
      </c>
      <c r="K18" s="526" t="inlineStr">
        <is>
          <t>งานส่งเสริมธรรมาภิบาลและความโปร่งใสในการดำเนินงาน</t>
        </is>
      </c>
      <c r="L18" s="525" t="inlineStr">
        <is>
          <t>06605</t>
        </is>
      </c>
      <c r="M18" s="525" t="inlineStr">
        <is>
          <t>06</t>
        </is>
      </c>
      <c r="N18" s="525" t="inlineStr">
        <is>
          <t>6</t>
        </is>
      </c>
      <c r="O18" s="525" t="inlineStr">
        <is>
          <t>6Z</t>
        </is>
      </c>
      <c r="P18" s="525" t="inlineStr">
        <is>
          <t>06605</t>
        </is>
      </c>
      <c r="Q18" s="534" t="n"/>
      <c r="R18" s="534" t="n"/>
      <c r="S18" s="534" t="n"/>
      <c r="T18" s="534" t="n"/>
      <c r="U18" s="534" t="n"/>
      <c r="V18" s="534" t="n"/>
      <c r="W18" s="534" t="n"/>
      <c r="X18" s="534" t="n"/>
    </row>
    <row r="19">
      <c r="A19" s="525" t="inlineStr">
        <is>
          <t>18</t>
        </is>
      </c>
      <c r="B19" s="528" t="n"/>
      <c r="C19" s="532" t="n"/>
      <c r="D19" s="534" t="n"/>
      <c r="E19" s="525" t="n"/>
      <c r="F19" s="534" t="n"/>
      <c r="G19" s="534" t="n"/>
      <c r="H19" s="534" t="n"/>
      <c r="I19" s="525" t="n"/>
      <c r="J19" s="529" t="inlineStr">
        <is>
          <t>06606</t>
        </is>
      </c>
      <c r="K19" s="526" t="inlineStr">
        <is>
          <t>การสร้างความผูกพันในองค์กร</t>
        </is>
      </c>
      <c r="L19" s="525" t="inlineStr">
        <is>
          <t>06606</t>
        </is>
      </c>
      <c r="M19" s="525" t="inlineStr">
        <is>
          <t>06</t>
        </is>
      </c>
      <c r="N19" s="525" t="inlineStr">
        <is>
          <t>6</t>
        </is>
      </c>
      <c r="O19" s="525" t="inlineStr">
        <is>
          <t>6Z</t>
        </is>
      </c>
      <c r="P19" s="525" t="inlineStr">
        <is>
          <t>06606</t>
        </is>
      </c>
      <c r="Q19" s="534" t="n"/>
      <c r="R19" s="534" t="n"/>
      <c r="S19" s="534" t="n"/>
      <c r="T19" s="534" t="n"/>
      <c r="U19" s="534" t="n"/>
      <c r="V19" s="534" t="n"/>
      <c r="W19" s="534" t="n"/>
      <c r="X19" s="534" t="n"/>
    </row>
    <row r="20">
      <c r="A20" s="525" t="inlineStr">
        <is>
          <t>19</t>
        </is>
      </c>
      <c r="B20" s="528" t="n"/>
      <c r="C20" s="532" t="n"/>
      <c r="D20" s="534" t="n"/>
      <c r="E20" s="525" t="n"/>
      <c r="F20" s="534" t="n"/>
      <c r="G20" s="534" t="n"/>
      <c r="H20" s="534" t="n"/>
      <c r="I20" s="525" t="n"/>
      <c r="J20" s="529" t="inlineStr">
        <is>
          <t>07700</t>
        </is>
      </c>
      <c r="K20" s="526" t="inlineStr">
        <is>
          <t>งานให้บริการรักษาพยาบาลเเละส่งเสริมสุขภาพเพื่อการศึกษาเเละวิจัย</t>
        </is>
      </c>
      <c r="L20" s="525" t="inlineStr">
        <is>
          <t>07700</t>
        </is>
      </c>
      <c r="M20" s="525" t="inlineStr">
        <is>
          <t>07</t>
        </is>
      </c>
      <c r="N20" s="525" t="inlineStr">
        <is>
          <t>7</t>
        </is>
      </c>
      <c r="O20" s="525" t="inlineStr">
        <is>
          <t>7Z</t>
        </is>
      </c>
      <c r="P20" s="525" t="inlineStr">
        <is>
          <t>07700</t>
        </is>
      </c>
      <c r="Q20" s="534" t="n"/>
      <c r="R20" s="534" t="n"/>
      <c r="S20" s="534" t="n"/>
      <c r="T20" s="534" t="n"/>
      <c r="U20" s="534" t="n"/>
      <c r="V20" s="534" t="n"/>
      <c r="W20" s="534" t="n"/>
      <c r="X20" s="534" t="n"/>
    </row>
    <row r="21">
      <c r="A21" s="525" t="inlineStr">
        <is>
          <t>20</t>
        </is>
      </c>
      <c r="B21" s="528" t="n"/>
      <c r="C21" s="532" t="n"/>
      <c r="D21" s="534" t="n"/>
      <c r="E21" s="525" t="n"/>
      <c r="F21" s="534" t="n"/>
      <c r="G21" s="528" t="n"/>
      <c r="H21" s="528" t="n"/>
      <c r="I21" s="525" t="n"/>
      <c r="J21" s="521" t="n"/>
      <c r="K21" s="534" t="n"/>
      <c r="L21" s="534" t="n"/>
      <c r="M21" s="534" t="n"/>
      <c r="N21" s="534" t="n"/>
      <c r="O21" s="534" t="n"/>
      <c r="P21" s="534" t="n"/>
      <c r="Q21" s="534" t="n"/>
      <c r="R21" s="534" t="n"/>
      <c r="S21" s="534" t="n"/>
      <c r="T21" s="534" t="n"/>
      <c r="U21" s="534" t="n"/>
      <c r="V21" s="534" t="n"/>
      <c r="W21" s="534" t="n"/>
      <c r="X21" s="534" t="n"/>
    </row>
    <row r="22">
      <c r="A22" s="525" t="inlineStr">
        <is>
          <t>21</t>
        </is>
      </c>
      <c r="B22" s="528" t="n"/>
      <c r="C22" s="532" t="n"/>
      <c r="D22" s="534" t="n"/>
      <c r="E22" s="525" t="n"/>
      <c r="F22" s="534" t="n"/>
      <c r="G22" s="528" t="n"/>
      <c r="H22" s="528" t="n"/>
      <c r="I22" s="525" t="n"/>
      <c r="J22" s="521" t="n"/>
      <c r="K22" s="534" t="n"/>
      <c r="L22" s="534" t="n"/>
      <c r="M22" s="534" t="n"/>
      <c r="N22" s="534" t="n"/>
      <c r="O22" s="534" t="n"/>
      <c r="P22" s="534" t="n"/>
      <c r="Q22" s="534" t="n"/>
      <c r="R22" s="534" t="n"/>
      <c r="S22" s="534" t="n"/>
      <c r="T22" s="534" t="n"/>
      <c r="U22" s="534" t="n"/>
      <c r="V22" s="534" t="n"/>
      <c r="W22" s="534" t="n"/>
      <c r="X22" s="534" t="n"/>
    </row>
    <row r="23">
      <c r="A23" s="525" t="inlineStr">
        <is>
          <t>22</t>
        </is>
      </c>
      <c r="B23" s="528" t="n"/>
      <c r="C23" s="532" t="n"/>
      <c r="D23" s="534" t="n"/>
      <c r="E23" s="525" t="n"/>
      <c r="F23" s="534" t="n"/>
      <c r="G23" s="528" t="n"/>
      <c r="H23" s="528" t="n"/>
      <c r="I23" s="525" t="n"/>
      <c r="J23" s="521" t="n"/>
      <c r="K23" s="534" t="n"/>
      <c r="L23" s="534" t="n"/>
      <c r="M23" s="534" t="n"/>
      <c r="N23" s="534" t="n"/>
      <c r="O23" s="529" t="n"/>
      <c r="P23" s="534" t="n"/>
      <c r="Q23" s="534" t="n"/>
      <c r="R23" s="534" t="n"/>
      <c r="S23" s="534" t="n"/>
      <c r="T23" s="534" t="n"/>
      <c r="U23" s="534" t="n"/>
      <c r="V23" s="534" t="n"/>
      <c r="W23" s="534" t="n"/>
      <c r="X23" s="534" t="n"/>
    </row>
    <row r="24">
      <c r="A24" s="525" t="inlineStr">
        <is>
          <t>23</t>
        </is>
      </c>
      <c r="B24" s="528" t="n"/>
      <c r="C24" s="532" t="n"/>
      <c r="D24" s="534" t="n"/>
      <c r="E24" s="525" t="n"/>
      <c r="F24" s="534" t="n"/>
      <c r="G24" s="528" t="n"/>
      <c r="H24" s="528" t="n"/>
      <c r="I24" s="525" t="n"/>
      <c r="J24" s="521" t="n"/>
      <c r="K24" s="527" t="inlineStr">
        <is>
          <t>รายปี-ระหว่างปี</t>
        </is>
      </c>
      <c r="L24" s="525" t="inlineStr">
        <is>
          <t>03</t>
        </is>
      </c>
      <c r="M24" s="528" t="inlineStr">
        <is>
          <t>A</t>
        </is>
      </c>
      <c r="N24" s="534" t="n"/>
      <c r="O24" s="529" t="n"/>
      <c r="P24" s="529" t="n"/>
      <c r="Q24" s="529" t="n"/>
      <c r="R24" s="529" t="n"/>
      <c r="S24" s="534" t="n"/>
      <c r="T24" s="534" t="n"/>
      <c r="U24" s="534" t="n"/>
      <c r="V24" s="534" t="n"/>
      <c r="W24" s="534" t="n"/>
      <c r="X24" s="534" t="n"/>
    </row>
    <row r="25">
      <c r="A25" s="525" t="inlineStr">
        <is>
          <t>24</t>
        </is>
      </c>
      <c r="B25" s="528" t="n"/>
      <c r="C25" s="532" t="n"/>
      <c r="D25" s="534" t="n"/>
      <c r="E25" s="525" t="n"/>
      <c r="F25" s="534" t="n"/>
      <c r="G25" s="528" t="n"/>
      <c r="H25" s="528" t="n"/>
      <c r="I25" s="525" t="n"/>
      <c r="J25" s="521" t="n"/>
      <c r="K25" s="527" t="inlineStr">
        <is>
          <t>โครงการเดิม/ต่อเนื่อง-ระหว่างปี</t>
        </is>
      </c>
      <c r="L25" s="525" t="inlineStr">
        <is>
          <t>23</t>
        </is>
      </c>
      <c r="M25" s="528" t="inlineStr">
        <is>
          <t>P</t>
        </is>
      </c>
      <c r="N25" s="534" t="n"/>
      <c r="O25" s="529" t="n"/>
      <c r="P25" s="529" t="n"/>
      <c r="Q25" s="529" t="n"/>
      <c r="R25" s="529" t="n"/>
      <c r="S25" s="534" t="n"/>
      <c r="T25" s="534" t="n"/>
      <c r="U25" s="534" t="n"/>
      <c r="V25" s="534" t="n"/>
      <c r="W25" s="534" t="n"/>
      <c r="X25" s="534" t="n"/>
    </row>
    <row r="26">
      <c r="A26" s="525" t="inlineStr">
        <is>
          <t>25</t>
        </is>
      </c>
      <c r="B26" s="528" t="n"/>
      <c r="C26" s="532" t="n"/>
      <c r="D26" s="534" t="n"/>
      <c r="E26" s="525" t="n"/>
      <c r="F26" s="534" t="n"/>
      <c r="G26" s="528" t="n"/>
      <c r="H26" s="528" t="n"/>
      <c r="I26" s="525" t="n"/>
      <c r="J26" s="521" t="n"/>
      <c r="K26" s="527" t="inlineStr">
        <is>
          <t>โครงการได้รับเงินสนับสนุนจากภายนอก</t>
        </is>
      </c>
      <c r="L26" s="525" t="inlineStr">
        <is>
          <t>33</t>
        </is>
      </c>
      <c r="M26" s="528" t="inlineStr">
        <is>
          <t>D</t>
        </is>
      </c>
      <c r="N26" s="534" t="n"/>
      <c r="O26" s="529" t="n"/>
      <c r="P26" s="529" t="n"/>
      <c r="Q26" s="529" t="n"/>
      <c r="R26" s="529" t="n"/>
      <c r="S26" s="534" t="n"/>
      <c r="T26" s="534" t="n"/>
      <c r="U26" s="534" t="n"/>
      <c r="V26" s="534" t="n"/>
      <c r="W26" s="534" t="n"/>
      <c r="X26" s="534" t="n"/>
    </row>
    <row r="27">
      <c r="A27" s="525" t="inlineStr">
        <is>
          <t>26</t>
        </is>
      </c>
      <c r="B27" s="528" t="n"/>
      <c r="C27" s="532" t="n"/>
      <c r="D27" s="534" t="n"/>
      <c r="E27" s="525" t="n"/>
      <c r="F27" s="534" t="n"/>
      <c r="G27" s="528" t="n"/>
      <c r="H27" s="528" t="n"/>
      <c r="I27" s="525" t="n"/>
      <c r="J27" s="521" t="n"/>
      <c r="K27" s="527" t="inlineStr">
        <is>
          <t>โครงการเงินยุทธศาสตร์การพัฒนามหาวิทยาลัย</t>
        </is>
      </c>
      <c r="L27" s="525" t="inlineStr">
        <is>
          <t>34</t>
        </is>
      </c>
      <c r="M27" s="528" t="inlineStr">
        <is>
          <t>F</t>
        </is>
      </c>
      <c r="N27" s="534" t="n"/>
      <c r="O27" s="529" t="n"/>
      <c r="P27" s="529" t="n"/>
      <c r="Q27" s="529" t="n"/>
      <c r="R27" s="529" t="n"/>
      <c r="S27" s="534" t="n"/>
      <c r="T27" s="534" t="n"/>
      <c r="U27" s="534" t="n"/>
      <c r="V27" s="534" t="n"/>
      <c r="W27" s="534" t="n"/>
      <c r="X27" s="534" t="n"/>
    </row>
    <row r="28">
      <c r="A28" s="525" t="inlineStr">
        <is>
          <t>27</t>
        </is>
      </c>
      <c r="B28" s="528" t="n"/>
      <c r="C28" s="532" t="n"/>
      <c r="D28" s="534" t="n"/>
      <c r="E28" s="525" t="n"/>
      <c r="F28" s="534" t="n"/>
      <c r="G28" s="528" t="n"/>
      <c r="H28" s="528" t="n"/>
      <c r="I28" s="525" t="n"/>
      <c r="J28" s="521" t="n"/>
      <c r="K28" s="527" t="inlineStr">
        <is>
          <t>โครงการเงินสำรองจ่าย</t>
        </is>
      </c>
      <c r="L28" s="525" t="inlineStr">
        <is>
          <t>35</t>
        </is>
      </c>
      <c r="M28" s="528" t="inlineStr">
        <is>
          <t>G</t>
        </is>
      </c>
      <c r="N28" s="534" t="n"/>
      <c r="O28" s="529" t="n"/>
      <c r="P28" s="529" t="n"/>
      <c r="Q28" s="529" t="n"/>
      <c r="R28" s="529" t="n"/>
      <c r="S28" s="534" t="n"/>
      <c r="T28" s="534" t="n"/>
      <c r="U28" s="534" t="n"/>
      <c r="V28" s="534" t="n"/>
      <c r="W28" s="534" t="n"/>
      <c r="X28" s="534" t="n"/>
    </row>
    <row r="29">
      <c r="A29" s="525" t="inlineStr">
        <is>
          <t>28</t>
        </is>
      </c>
      <c r="B29" s="528" t="n"/>
      <c r="C29" s="532" t="n"/>
      <c r="D29" s="534" t="n"/>
      <c r="E29" s="525" t="n"/>
      <c r="F29" s="534" t="n"/>
      <c r="G29" s="528" t="n"/>
      <c r="H29" s="528" t="n"/>
      <c r="I29" s="525" t="n"/>
      <c r="J29" s="521" t="n"/>
      <c r="K29" s="534" t="n"/>
      <c r="L29" s="534" t="n"/>
      <c r="M29" s="534" t="n"/>
      <c r="N29" s="534" t="n"/>
      <c r="O29" s="529" t="n"/>
      <c r="P29" s="529" t="n"/>
      <c r="Q29" s="529" t="n"/>
      <c r="R29" s="529" t="n"/>
      <c r="S29" s="534" t="n"/>
      <c r="T29" s="534" t="n"/>
      <c r="U29" s="534" t="n"/>
      <c r="V29" s="534" t="n"/>
      <c r="W29" s="534" t="n"/>
      <c r="X29" s="534" t="n"/>
    </row>
    <row r="30">
      <c r="A30" s="525" t="inlineStr">
        <is>
          <t>29</t>
        </is>
      </c>
      <c r="B30" s="528" t="n"/>
      <c r="C30" s="532" t="n"/>
      <c r="D30" s="534" t="n"/>
      <c r="E30" s="525" t="n"/>
      <c r="F30" s="534" t="n"/>
      <c r="G30" s="528" t="n"/>
      <c r="H30" s="528" t="n"/>
      <c r="I30" s="525" t="n"/>
      <c r="J30" s="536" t="inlineStr">
        <is>
          <t>รหัสงาน</t>
        </is>
      </c>
      <c r="K30" s="537" t="inlineStr">
        <is>
          <t>แผนปฏิบัติงาน</t>
        </is>
      </c>
      <c r="L30" s="537" t="inlineStr">
        <is>
          <t>Funds</t>
        </is>
      </c>
      <c r="M30" s="537" t="inlineStr">
        <is>
          <t>กองทุน</t>
        </is>
      </c>
      <c r="N30" s="538" t="n"/>
      <c r="O30" s="529" t="n"/>
      <c r="P30" s="529" t="n"/>
      <c r="Q30" s="529" t="n"/>
      <c r="R30" s="529" t="n"/>
      <c r="S30" s="534" t="n"/>
      <c r="T30" s="534" t="n"/>
      <c r="U30" s="534" t="n"/>
      <c r="V30" s="534" t="n"/>
      <c r="W30" s="534" t="n"/>
      <c r="X30" s="534" t="n"/>
    </row>
    <row r="31">
      <c r="A31" s="525" t="inlineStr">
        <is>
          <t>30</t>
        </is>
      </c>
      <c r="B31" s="528" t="n"/>
      <c r="C31" s="532" t="n"/>
      <c r="D31" s="534" t="n"/>
      <c r="E31" s="525" t="n"/>
      <c r="F31" s="534" t="n"/>
      <c r="G31" s="528" t="n"/>
      <c r="H31" s="528" t="n"/>
      <c r="I31" s="525" t="n"/>
      <c r="J31" s="536" t="inlineStr">
        <is>
          <t>01100</t>
        </is>
      </c>
      <c r="K31" s="537" t="inlineStr">
        <is>
          <t>งานจัดการศึกษาสำนักวิชา</t>
        </is>
      </c>
      <c r="L31" s="539" t="inlineStr">
        <is>
          <t>202000</t>
        </is>
      </c>
      <c r="M31" s="537" t="inlineStr">
        <is>
          <t>กองทุนเพื่อการศึกษา</t>
        </is>
      </c>
      <c r="N31" s="538" t="n"/>
      <c r="O31" s="529" t="n"/>
      <c r="P31" s="529" t="n"/>
      <c r="Q31" s="529" t="n"/>
      <c r="R31" s="529" t="n"/>
      <c r="S31" s="534" t="n"/>
      <c r="T31" s="534" t="n"/>
      <c r="U31" s="534" t="n"/>
      <c r="V31" s="534" t="n"/>
      <c r="W31" s="534" t="n"/>
      <c r="X31" s="534" t="n"/>
    </row>
    <row r="32">
      <c r="A32" s="525" t="inlineStr">
        <is>
          <t>31</t>
        </is>
      </c>
      <c r="B32" s="528" t="n"/>
      <c r="C32" s="532" t="n"/>
      <c r="D32" s="534" t="n"/>
      <c r="E32" s="525" t="n"/>
      <c r="F32" s="534" t="n"/>
      <c r="G32" s="528" t="n"/>
      <c r="H32" s="528" t="n"/>
      <c r="I32" s="525" t="n"/>
      <c r="J32" s="536" t="inlineStr">
        <is>
          <t>01102</t>
        </is>
      </c>
      <c r="K32" s="537" t="inlineStr">
        <is>
          <t>งานสนับสนุนการจัดการศึกษา</t>
        </is>
      </c>
      <c r="L32" s="540" t="n">
        <v>202000</v>
      </c>
      <c r="M32" s="537" t="inlineStr">
        <is>
          <t>กองทุนเพื่อการศึกษา</t>
        </is>
      </c>
      <c r="N32" s="538" t="n"/>
      <c r="O32" s="529" t="n"/>
      <c r="P32" s="529" t="n"/>
      <c r="Q32" s="529" t="n"/>
      <c r="R32" s="529" t="n"/>
      <c r="S32" s="534" t="n"/>
      <c r="T32" s="534" t="n"/>
      <c r="U32" s="534" t="n"/>
      <c r="V32" s="534" t="n"/>
      <c r="W32" s="534" t="n"/>
      <c r="X32" s="534" t="n"/>
    </row>
    <row r="33">
      <c r="A33" s="532" t="n"/>
      <c r="B33" s="532" t="n"/>
      <c r="C33" s="532" t="n"/>
      <c r="D33" s="534" t="n"/>
      <c r="E33" s="534" t="n"/>
      <c r="F33" s="534" t="n"/>
      <c r="G33" s="528" t="n"/>
      <c r="H33" s="528" t="n"/>
      <c r="I33" s="534" t="n"/>
      <c r="J33" s="536" t="inlineStr">
        <is>
          <t>01103</t>
        </is>
      </c>
      <c r="K33" s="537" t="inlineStr">
        <is>
          <t>งานบริหารและจัดการหลักสูตรพิเศษ</t>
        </is>
      </c>
      <c r="L33" s="540" t="n">
        <v>202000</v>
      </c>
      <c r="M33" s="537" t="inlineStr">
        <is>
          <t>กองทุนเพื่อการศึกษา</t>
        </is>
      </c>
      <c r="N33" s="538" t="n"/>
      <c r="O33" s="529" t="n"/>
      <c r="P33" s="529" t="n"/>
      <c r="Q33" s="529" t="n"/>
      <c r="R33" s="529" t="n"/>
      <c r="S33" s="534" t="n"/>
      <c r="T33" s="534" t="n"/>
      <c r="U33" s="534" t="n"/>
      <c r="V33" s="534" t="n"/>
      <c r="W33" s="534" t="n"/>
      <c r="X33" s="534" t="n"/>
    </row>
    <row r="34">
      <c r="A34" s="532" t="n"/>
      <c r="B34" s="532" t="n"/>
      <c r="C34" s="532" t="n"/>
      <c r="D34" s="534" t="n"/>
      <c r="E34" s="534" t="n"/>
      <c r="F34" s="534" t="n"/>
      <c r="G34" s="528" t="n"/>
      <c r="H34" s="528" t="n"/>
      <c r="I34" s="534" t="n"/>
      <c r="J34" s="536" t="inlineStr">
        <is>
          <t>01104</t>
        </is>
      </c>
      <c r="K34" s="537" t="inlineStr">
        <is>
          <t>งานพัฒนาความสัมพันธ์ระหว่างประเทศ</t>
        </is>
      </c>
      <c r="L34" s="540" t="n">
        <v>202000</v>
      </c>
      <c r="M34" s="537" t="inlineStr">
        <is>
          <t>กองทุนเพื่อการศึกษา</t>
        </is>
      </c>
      <c r="N34" s="538" t="n"/>
      <c r="O34" s="529" t="n"/>
      <c r="P34" s="529" t="n"/>
      <c r="Q34" s="529" t="n"/>
      <c r="R34" s="529" t="n"/>
      <c r="S34" s="534" t="n"/>
      <c r="T34" s="534" t="n"/>
      <c r="U34" s="534" t="n"/>
      <c r="V34" s="534" t="n"/>
      <c r="W34" s="534" t="n"/>
      <c r="X34" s="534" t="n"/>
    </row>
    <row r="35">
      <c r="A35" s="532" t="n"/>
      <c r="B35" s="532" t="n"/>
      <c r="C35" s="532" t="n"/>
      <c r="D35" s="534" t="n"/>
      <c r="E35" s="528" t="n"/>
      <c r="F35" s="534" t="n"/>
      <c r="G35" s="528" t="n"/>
      <c r="H35" s="528" t="n"/>
      <c r="I35" s="528" t="n"/>
      <c r="J35" s="536" t="inlineStr">
        <is>
          <t>02201</t>
        </is>
      </c>
      <c r="K35" s="537" t="inlineStr">
        <is>
          <t>งานวิจัย พัฒนาและถ่ายทอดเทคโนโลยี</t>
        </is>
      </c>
      <c r="L35" s="540" t="n">
        <v>203000</v>
      </c>
      <c r="M35" s="537" t="inlineStr">
        <is>
          <t>กองทุนวิจัย</t>
        </is>
      </c>
      <c r="N35" s="538" t="n"/>
      <c r="O35" s="529" t="n"/>
      <c r="P35" s="529" t="n"/>
      <c r="Q35" s="529" t="n"/>
      <c r="R35" s="529" t="n"/>
      <c r="S35" s="534" t="n"/>
      <c r="T35" s="534" t="n"/>
      <c r="U35" s="534" t="n"/>
      <c r="V35" s="534" t="n"/>
      <c r="W35" s="534" t="n"/>
      <c r="X35" s="534" t="n"/>
    </row>
    <row r="36">
      <c r="A36" s="532" t="n"/>
      <c r="B36" s="532" t="n"/>
      <c r="C36" s="532" t="n"/>
      <c r="D36" s="534" t="n"/>
      <c r="E36" s="528" t="n"/>
      <c r="F36" s="534" t="n"/>
      <c r="G36" s="528" t="n"/>
      <c r="H36" s="528" t="n"/>
      <c r="I36" s="528" t="n"/>
      <c r="J36" s="536" t="inlineStr">
        <is>
          <t>02202</t>
        </is>
      </c>
      <c r="K36" s="537" t="inlineStr">
        <is>
          <t>หน่วยวิจัยเฉพาะทาง</t>
        </is>
      </c>
      <c r="L36" s="540" t="n">
        <v>203000</v>
      </c>
      <c r="M36" s="537" t="inlineStr">
        <is>
          <t>กองทุนวิจัย</t>
        </is>
      </c>
      <c r="N36" s="538" t="n"/>
      <c r="O36" s="529" t="n"/>
      <c r="P36" s="529" t="n"/>
      <c r="Q36" s="529" t="n"/>
      <c r="R36" s="529" t="n"/>
      <c r="S36" s="534" t="n"/>
      <c r="T36" s="534" t="n"/>
      <c r="U36" s="534" t="n"/>
      <c r="V36" s="534" t="n"/>
      <c r="W36" s="534" t="n"/>
      <c r="X36" s="534" t="n"/>
    </row>
    <row r="37">
      <c r="A37" s="532" t="n"/>
      <c r="B37" s="532" t="n"/>
      <c r="C37" s="532" t="n"/>
      <c r="D37" s="534" t="n"/>
      <c r="E37" s="528" t="n"/>
      <c r="F37" s="534" t="n"/>
      <c r="G37" s="528" t="n"/>
      <c r="H37" s="528" t="n"/>
      <c r="I37" s="528" t="n"/>
      <c r="J37" s="536" t="inlineStr">
        <is>
          <t>03301</t>
        </is>
      </c>
      <c r="K37" s="537" t="inlineStr">
        <is>
          <t>งานบริการวิชาการแก่สังคม</t>
        </is>
      </c>
      <c r="L37" s="540" t="n">
        <v>204000</v>
      </c>
      <c r="M37" s="537" t="inlineStr">
        <is>
          <t>กองทุนบริการวิชาการแก่สังคม</t>
        </is>
      </c>
      <c r="N37" s="538" t="n"/>
      <c r="O37" s="529" t="n"/>
      <c r="P37" s="529" t="n"/>
      <c r="Q37" s="529" t="n"/>
      <c r="R37" s="529" t="n"/>
      <c r="S37" s="534" t="n"/>
      <c r="T37" s="534" t="n"/>
      <c r="U37" s="534" t="n"/>
      <c r="V37" s="534" t="n"/>
      <c r="W37" s="534" t="n"/>
      <c r="X37" s="534" t="n"/>
    </row>
    <row r="38">
      <c r="A38" s="532" t="n"/>
      <c r="B38" s="532" t="n"/>
      <c r="C38" s="532" t="n"/>
      <c r="D38" s="534" t="n"/>
      <c r="E38" s="528" t="n"/>
      <c r="F38" s="534" t="n"/>
      <c r="G38" s="528" t="n"/>
      <c r="H38" s="528" t="n"/>
      <c r="I38" s="528" t="n"/>
      <c r="J38" s="536" t="inlineStr">
        <is>
          <t>04401</t>
        </is>
      </c>
      <c r="K38" s="537" t="inlineStr">
        <is>
          <t>งานทำนุบำรุง ศิลปวัฒนธรรมและสิ่งแวดล้อม</t>
        </is>
      </c>
      <c r="L38" s="540" t="n">
        <v>207001</v>
      </c>
      <c r="M38" s="537" t="inlineStr">
        <is>
          <t>กองทุนทำนุบำรุงศิลปวัฒนธรรม</t>
        </is>
      </c>
      <c r="N38" s="538" t="n"/>
      <c r="O38" s="529" t="n"/>
      <c r="P38" s="529" t="n"/>
      <c r="Q38" s="529" t="n"/>
      <c r="R38" s="529" t="n"/>
      <c r="S38" s="534" t="n"/>
      <c r="T38" s="534" t="n"/>
      <c r="U38" s="534" t="n"/>
      <c r="V38" s="534" t="n"/>
      <c r="W38" s="534" t="n"/>
      <c r="X38" s="534" t="n"/>
    </row>
    <row r="39">
      <c r="A39" s="532" t="n"/>
      <c r="B39" s="532" t="n"/>
      <c r="C39" s="532" t="n"/>
      <c r="D39" s="534" t="n"/>
      <c r="E39" s="528" t="n"/>
      <c r="F39" s="534" t="n"/>
      <c r="G39" s="528" t="n"/>
      <c r="H39" s="528" t="n"/>
      <c r="I39" s="528" t="n"/>
      <c r="J39" s="536" t="inlineStr">
        <is>
          <t>05501</t>
        </is>
      </c>
      <c r="K39" s="537" t="inlineStr">
        <is>
          <t>งานบริการเครื่องมือวิทยาศาสตร์และเทคโนโลยี</t>
        </is>
      </c>
      <c r="L39" s="540" t="n">
        <v>202000</v>
      </c>
      <c r="M39" s="537" t="inlineStr">
        <is>
          <t>กองทุนเพื่อการศึกษา</t>
        </is>
      </c>
      <c r="N39" s="538" t="n"/>
      <c r="O39" s="529" t="n"/>
      <c r="P39" s="529" t="n"/>
      <c r="Q39" s="529" t="n"/>
      <c r="R39" s="529" t="n"/>
      <c r="S39" s="534" t="n"/>
      <c r="T39" s="534" t="n"/>
      <c r="U39" s="534" t="n"/>
      <c r="V39" s="534" t="n"/>
      <c r="W39" s="534" t="n"/>
      <c r="X39" s="534" t="n"/>
    </row>
    <row r="40">
      <c r="A40" s="532" t="n"/>
      <c r="B40" s="532" t="n"/>
      <c r="C40" s="532" t="n"/>
      <c r="D40" s="534" t="n"/>
      <c r="E40" s="528" t="n"/>
      <c r="F40" s="534" t="n"/>
      <c r="G40" s="528" t="n"/>
      <c r="H40" s="528" t="n"/>
      <c r="I40" s="528" t="n"/>
      <c r="J40" s="536" t="inlineStr">
        <is>
          <t>05502</t>
        </is>
      </c>
      <c r="K40" s="537" t="inlineStr">
        <is>
          <t>งานบริการห้องสมุดและสื่อการศึกษา</t>
        </is>
      </c>
      <c r="L40" s="540" t="n">
        <v>202000</v>
      </c>
      <c r="M40" s="537" t="inlineStr">
        <is>
          <t>กองทุนเพื่อการศึกษา</t>
        </is>
      </c>
      <c r="N40" s="538" t="n"/>
      <c r="O40" s="529" t="n"/>
      <c r="P40" s="529" t="n"/>
      <c r="Q40" s="529" t="n"/>
      <c r="R40" s="529" t="n"/>
      <c r="S40" s="534" t="n"/>
      <c r="T40" s="534" t="n"/>
      <c r="U40" s="534" t="n"/>
      <c r="V40" s="534" t="n"/>
      <c r="W40" s="534" t="n"/>
      <c r="X40" s="534" t="n"/>
    </row>
    <row r="41">
      <c r="A41" s="532" t="n"/>
      <c r="B41" s="532" t="n"/>
      <c r="C41" s="532" t="n"/>
      <c r="D41" s="534" t="n"/>
      <c r="E41" s="528" t="n"/>
      <c r="F41" s="534" t="n"/>
      <c r="G41" s="528" t="n"/>
      <c r="H41" s="528" t="n"/>
      <c r="I41" s="528" t="n"/>
      <c r="J41" s="536" t="inlineStr">
        <is>
          <t>05503</t>
        </is>
      </c>
      <c r="K41" s="537" t="inlineStr">
        <is>
          <t>งานบริการเทคโนโลยีสารสนเทศ</t>
        </is>
      </c>
      <c r="L41" s="540" t="n">
        <v>202000</v>
      </c>
      <c r="M41" s="537" t="inlineStr">
        <is>
          <t>กองทุนเพื่อการศึกษา</t>
        </is>
      </c>
      <c r="N41" s="538" t="n"/>
      <c r="O41" s="529" t="n"/>
      <c r="P41" s="529" t="n"/>
      <c r="Q41" s="529" t="n"/>
      <c r="R41" s="529" t="n"/>
      <c r="S41" s="534" t="n"/>
      <c r="T41" s="534" t="n"/>
      <c r="U41" s="534" t="n"/>
      <c r="V41" s="534" t="n"/>
      <c r="W41" s="534" t="n"/>
      <c r="X41" s="534" t="n"/>
    </row>
    <row r="42">
      <c r="A42" s="532" t="n"/>
      <c r="B42" s="532" t="n"/>
      <c r="C42" s="532" t="n"/>
      <c r="D42" s="534" t="n"/>
      <c r="E42" s="528" t="n"/>
      <c r="F42" s="534" t="n"/>
      <c r="G42" s="528" t="n"/>
      <c r="H42" s="528" t="n"/>
      <c r="I42" s="528" t="n"/>
      <c r="J42" s="536" t="inlineStr">
        <is>
          <t>06601</t>
        </is>
      </c>
      <c r="K42" s="537" t="inlineStr">
        <is>
          <t>งานบริหารทั่วไป</t>
        </is>
      </c>
      <c r="L42" s="540" t="n">
        <v>201000</v>
      </c>
      <c r="M42" s="537" t="inlineStr">
        <is>
          <t>กองทุนทั่วไป</t>
        </is>
      </c>
      <c r="N42" s="538" t="n"/>
      <c r="O42" s="529" t="n"/>
      <c r="P42" s="529" t="n"/>
      <c r="Q42" s="529" t="n"/>
      <c r="R42" s="529" t="n"/>
      <c r="S42" s="534" t="n"/>
      <c r="T42" s="534" t="n"/>
      <c r="U42" s="534" t="n"/>
      <c r="V42" s="534" t="n"/>
      <c r="W42" s="534" t="n"/>
      <c r="X42" s="534" t="n"/>
    </row>
    <row r="43">
      <c r="A43" s="532" t="n"/>
      <c r="B43" s="532" t="n"/>
      <c r="C43" s="532" t="n"/>
      <c r="D43" s="534" t="n"/>
      <c r="E43" s="528" t="n"/>
      <c r="F43" s="534" t="n"/>
      <c r="G43" s="528" t="n"/>
      <c r="H43" s="528" t="n"/>
      <c r="I43" s="528" t="n"/>
      <c r="J43" s="536" t="inlineStr">
        <is>
          <t>06602</t>
        </is>
      </c>
      <c r="K43" s="537" t="inlineStr">
        <is>
          <t>งานจัดหารายได้</t>
        </is>
      </c>
      <c r="L43" s="540" t="n">
        <v>201000</v>
      </c>
      <c r="M43" s="537" t="inlineStr">
        <is>
          <t>กองทุนทั่วไป</t>
        </is>
      </c>
      <c r="N43" s="538" t="n"/>
      <c r="O43" s="529" t="n"/>
      <c r="P43" s="529" t="n"/>
      <c r="Q43" s="529" t="n"/>
      <c r="R43" s="529" t="n"/>
      <c r="S43" s="534" t="n"/>
      <c r="T43" s="534" t="n"/>
      <c r="U43" s="534" t="n"/>
      <c r="V43" s="534" t="n"/>
      <c r="W43" s="534" t="n"/>
      <c r="X43" s="534" t="n"/>
    </row>
    <row r="44">
      <c r="A44" s="532" t="n"/>
      <c r="B44" s="532" t="n"/>
      <c r="C44" s="532" t="n"/>
      <c r="D44" s="534" t="n"/>
      <c r="E44" s="528" t="n"/>
      <c r="F44" s="534" t="n"/>
      <c r="G44" s="528" t="n"/>
      <c r="H44" s="528" t="n"/>
      <c r="I44" s="528" t="n"/>
      <c r="J44" s="536" t="inlineStr">
        <is>
          <t>06603</t>
        </is>
      </c>
      <c r="K44" s="537" t="inlineStr">
        <is>
          <t>งานตรวจสอบภายใน</t>
        </is>
      </c>
      <c r="L44" s="540" t="n">
        <v>201000</v>
      </c>
      <c r="M44" s="537" t="inlineStr">
        <is>
          <t>กองทุนทั่วไป</t>
        </is>
      </c>
      <c r="N44" s="538" t="n"/>
      <c r="O44" s="529" t="n"/>
      <c r="P44" s="529" t="n"/>
      <c r="Q44" s="529" t="n"/>
      <c r="R44" s="529" t="n"/>
      <c r="S44" s="534" t="n"/>
      <c r="T44" s="534" t="n"/>
      <c r="U44" s="534" t="n"/>
      <c r="V44" s="534" t="n"/>
      <c r="W44" s="534" t="n"/>
      <c r="X44" s="534" t="n"/>
    </row>
    <row r="45">
      <c r="A45" s="532" t="n"/>
      <c r="B45" s="532" t="n"/>
      <c r="C45" s="532" t="n"/>
      <c r="D45" s="534" t="n"/>
      <c r="E45" s="528" t="n"/>
      <c r="F45" s="534" t="n"/>
      <c r="G45" s="528" t="n"/>
      <c r="H45" s="528" t="n"/>
      <c r="I45" s="528" t="n"/>
      <c r="J45" s="536" t="inlineStr">
        <is>
          <t>06604</t>
        </is>
      </c>
      <c r="K45" s="537" t="inlineStr">
        <is>
          <t>งานกิจการสภามหาวิทยาลัย</t>
        </is>
      </c>
      <c r="L45" s="540" t="n">
        <v>201000</v>
      </c>
      <c r="M45" s="537" t="inlineStr">
        <is>
          <t>กองทุนทั่วไป</t>
        </is>
      </c>
      <c r="N45" s="538" t="n"/>
      <c r="O45" s="529" t="n"/>
      <c r="P45" s="529" t="n"/>
      <c r="Q45" s="529" t="n"/>
      <c r="R45" s="529" t="n"/>
      <c r="S45" s="534" t="n"/>
      <c r="T45" s="534" t="n"/>
      <c r="U45" s="534" t="n"/>
      <c r="V45" s="534" t="n"/>
      <c r="W45" s="534" t="n"/>
      <c r="X45" s="534" t="n"/>
    </row>
    <row r="46">
      <c r="A46" s="532" t="n"/>
      <c r="B46" s="532" t="n"/>
      <c r="C46" s="532" t="n"/>
      <c r="D46" s="534" t="n"/>
      <c r="E46" s="528" t="n"/>
      <c r="F46" s="534" t="n"/>
      <c r="G46" s="528" t="n"/>
      <c r="H46" s="528" t="n"/>
      <c r="I46" s="528" t="n"/>
      <c r="J46" s="536" t="inlineStr">
        <is>
          <t>07700</t>
        </is>
      </c>
      <c r="K46" s="537" t="inlineStr">
        <is>
          <t>งานให้บริการรักษาพยาบาลและส่งเสริมสุขภาพเพื่อการศึกษาและวิจัย</t>
        </is>
      </c>
      <c r="L46" s="540" t="n">
        <v>207002</v>
      </c>
      <c r="M46" s="537" t="inlineStr">
        <is>
          <t>กองทุนบริการสุขภาพแก่สังคม</t>
        </is>
      </c>
      <c r="N46" s="538" t="n"/>
      <c r="O46" s="529" t="n"/>
      <c r="P46" s="529" t="n"/>
      <c r="Q46" s="529" t="n"/>
      <c r="R46" s="529" t="n"/>
      <c r="S46" s="534" t="n"/>
      <c r="T46" s="534" t="n"/>
      <c r="U46" s="534" t="n"/>
      <c r="V46" s="534" t="n"/>
      <c r="W46" s="534" t="n"/>
      <c r="X46" s="534" t="n"/>
    </row>
    <row r="47">
      <c r="A47" s="532" t="n"/>
      <c r="B47" s="532" t="n"/>
      <c r="C47" s="532" t="n"/>
      <c r="D47" s="534" t="n"/>
      <c r="E47" s="528" t="n"/>
      <c r="F47" s="534" t="n"/>
      <c r="G47" s="528" t="n"/>
      <c r="H47" s="528" t="n"/>
      <c r="I47" s="528" t="n"/>
      <c r="J47" s="536" t="inlineStr">
        <is>
          <t>01105</t>
        </is>
      </c>
      <c r="K47" s="536" t="inlineStr">
        <is>
          <t>งานพัฒนาทักษะนักศึกษา</t>
        </is>
      </c>
      <c r="L47" s="540" t="n">
        <v>202000</v>
      </c>
      <c r="M47" s="537" t="inlineStr">
        <is>
          <t>กองทุนเพื่อการศึกษา</t>
        </is>
      </c>
      <c r="N47" s="538" t="n"/>
      <c r="O47" s="529" t="n"/>
      <c r="P47" s="529" t="n"/>
      <c r="Q47" s="529" t="n"/>
      <c r="R47" s="529" t="n"/>
      <c r="S47" s="534" t="n"/>
      <c r="T47" s="534" t="n"/>
      <c r="U47" s="534" t="n"/>
      <c r="V47" s="534" t="n"/>
      <c r="W47" s="534" t="n"/>
      <c r="X47" s="534" t="n"/>
    </row>
    <row r="48">
      <c r="A48" s="532" t="n"/>
      <c r="B48" s="532" t="n"/>
      <c r="C48" s="532" t="n"/>
      <c r="D48" s="534" t="n"/>
      <c r="E48" s="528" t="n"/>
      <c r="F48" s="534" t="n"/>
      <c r="G48" s="528" t="n"/>
      <c r="H48" s="528" t="n"/>
      <c r="I48" s="528" t="n"/>
      <c r="J48" s="536" t="inlineStr">
        <is>
          <t>06605</t>
        </is>
      </c>
      <c r="K48" s="536" t="inlineStr">
        <is>
          <t>งานส่งเสริมธรรมาภิบาลและความโปร่งใสในการดำเนินงาน</t>
        </is>
      </c>
      <c r="L48" s="540" t="n">
        <v>201000</v>
      </c>
      <c r="M48" s="537" t="inlineStr">
        <is>
          <t>กองทุนทั่วไป</t>
        </is>
      </c>
      <c r="N48" s="538" t="n"/>
      <c r="O48" s="529" t="n"/>
      <c r="P48" s="529" t="n"/>
      <c r="Q48" s="529" t="n"/>
      <c r="R48" s="529" t="n"/>
      <c r="S48" s="534" t="n"/>
      <c r="T48" s="534" t="n"/>
      <c r="U48" s="534" t="n"/>
      <c r="V48" s="534" t="n"/>
      <c r="W48" s="534" t="n"/>
      <c r="X48" s="534" t="n"/>
    </row>
    <row r="49">
      <c r="A49" s="532" t="n"/>
      <c r="B49" s="532" t="n"/>
      <c r="C49" s="532" t="n"/>
      <c r="D49" s="534" t="n"/>
      <c r="E49" s="528" t="n"/>
      <c r="F49" s="534" t="n"/>
      <c r="G49" s="528" t="n"/>
      <c r="H49" s="528" t="n"/>
      <c r="I49" s="528" t="n"/>
      <c r="J49" s="536" t="inlineStr">
        <is>
          <t>06606</t>
        </is>
      </c>
      <c r="K49" s="536" t="inlineStr">
        <is>
          <t>การสร้างความผูกพันในองค์กร</t>
        </is>
      </c>
      <c r="L49" s="540" t="n">
        <v>201000</v>
      </c>
      <c r="M49" s="537" t="inlineStr">
        <is>
          <t>กองทุนทั่วไป</t>
        </is>
      </c>
      <c r="N49" s="538" t="n"/>
      <c r="O49" s="529" t="n"/>
      <c r="P49" s="529" t="n"/>
      <c r="Q49" s="529" t="n"/>
      <c r="R49" s="529" t="n"/>
      <c r="S49" s="534" t="n"/>
      <c r="T49" s="534" t="n"/>
      <c r="U49" s="534" t="n"/>
      <c r="V49" s="534" t="n"/>
      <c r="W49" s="534" t="n"/>
      <c r="X49" s="53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G25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.63" customWidth="1" style="592" min="1" max="1"/>
    <col width="7.38" customWidth="1" style="592" min="2" max="2"/>
    <col width="41.25" customWidth="1" style="592" min="3" max="3"/>
    <col width="10.13" customWidth="1" style="592" min="4" max="4"/>
    <col width="41.25" customWidth="1" style="592" min="5" max="5"/>
    <col width="10.38" customWidth="1" style="592" min="6" max="6"/>
    <col width="21.63" customWidth="1" style="592" min="7" max="7"/>
  </cols>
  <sheetData>
    <row r="1">
      <c r="A1" s="549" t="inlineStr">
        <is>
          <t>ประเภท</t>
        </is>
      </c>
      <c r="B1" s="542" t="inlineStr">
        <is>
          <t>FP-70</t>
        </is>
      </c>
      <c r="C1" s="549" t="inlineStr">
        <is>
          <t>รายการงบประมาณ</t>
        </is>
      </c>
      <c r="D1" s="542" t="inlineStr">
        <is>
          <t>CI</t>
        </is>
      </c>
      <c r="E1" s="542" t="inlineStr">
        <is>
          <t>ชื่อบัญชีงบประมาณ</t>
        </is>
      </c>
      <c r="F1" s="542" t="inlineStr">
        <is>
          <t>รหัสหมวดเงิน</t>
        </is>
      </c>
      <c r="G1" s="542" t="inlineStr">
        <is>
          <t>ชื่อหมวดเงิน</t>
        </is>
      </c>
    </row>
    <row r="2">
      <c r="A2" s="555" t="inlineStr">
        <is>
          <t>FP-GL</t>
        </is>
      </c>
      <c r="B2" s="546" t="inlineStr">
        <is>
          <t>7033101</t>
        </is>
      </c>
      <c r="C2" s="555" t="inlineStr">
        <is>
          <t>เงินค่าอาหารทำการนอกเวลา สำหรับพนักงาน</t>
        </is>
      </c>
      <c r="D2" s="547" t="n">
        <v>6201010001</v>
      </c>
      <c r="E2" s="555">
        <f>C2</f>
        <v/>
      </c>
      <c r="F2" s="547" t="n">
        <v>5300</v>
      </c>
      <c r="G2" s="548" t="inlineStr">
        <is>
          <t>หมวดตอบแทน ใช้สอยและวัสดุ</t>
        </is>
      </c>
    </row>
    <row r="3">
      <c r="A3" s="555" t="inlineStr">
        <is>
          <t>FP-GL</t>
        </is>
      </c>
      <c r="B3" s="546" t="inlineStr">
        <is>
          <t>7033310</t>
        </is>
      </c>
      <c r="C3" s="555" t="inlineStr">
        <is>
          <t>เงินค่าอาหารทำการนอกเวลา สำหรับลูกจ้างชั่วคราวรายเดือน</t>
        </is>
      </c>
      <c r="D3" s="547" t="n">
        <v>6201010002</v>
      </c>
      <c r="E3" s="555">
        <f>C3</f>
        <v/>
      </c>
      <c r="F3" s="547" t="n">
        <v>5300</v>
      </c>
      <c r="G3" s="548" t="inlineStr">
        <is>
          <t>หมวดตอบแทน ใช้สอยและวัสดุ</t>
        </is>
      </c>
    </row>
    <row r="4">
      <c r="A4" s="555" t="inlineStr">
        <is>
          <t>FP-GL</t>
        </is>
      </c>
      <c r="B4" s="546" t="inlineStr">
        <is>
          <t>7033311</t>
        </is>
      </c>
      <c r="C4" s="555" t="inlineStr">
        <is>
          <t>เงินค่าอาหารทำการนอกเวลา สำหรับลูกจ้างชั่วคราวรายวัน</t>
        </is>
      </c>
      <c r="D4" s="547" t="n">
        <v>6201010003</v>
      </c>
      <c r="E4" s="555">
        <f>C4</f>
        <v/>
      </c>
      <c r="F4" s="547" t="n">
        <v>5300</v>
      </c>
      <c r="G4" s="548" t="inlineStr">
        <is>
          <t>หมวดตอบแทน ใช้สอยและวัสดุ</t>
        </is>
      </c>
    </row>
    <row r="5">
      <c r="A5" s="555" t="inlineStr">
        <is>
          <t>FP-GL</t>
        </is>
      </c>
      <c r="B5" s="546" t="inlineStr">
        <is>
          <t>7033312</t>
        </is>
      </c>
      <c r="C5" s="555" t="inlineStr">
        <is>
          <t>เงินค่าอาหารทำการนอกเวลา สำหรับพนักงานขับรถ</t>
        </is>
      </c>
      <c r="D5" s="547" t="n">
        <v>6201010004</v>
      </c>
      <c r="E5" s="555">
        <f>C5</f>
        <v/>
      </c>
      <c r="F5" s="547" t="n">
        <v>5300</v>
      </c>
      <c r="G5" s="548" t="inlineStr">
        <is>
          <t>หมวดตอบแทน ใช้สอยและวัสดุ</t>
        </is>
      </c>
    </row>
    <row r="6">
      <c r="A6" s="555" t="inlineStr">
        <is>
          <t>FP-GL</t>
        </is>
      </c>
      <c r="B6" s="546" t="inlineStr">
        <is>
          <t>7033002</t>
        </is>
      </c>
      <c r="C6" s="555" t="inlineStr">
        <is>
          <t>ค่าเบี้ยประชุม</t>
        </is>
      </c>
      <c r="D6" s="547" t="n">
        <v>6201020001</v>
      </c>
      <c r="E6" s="555">
        <f>C6</f>
        <v/>
      </c>
      <c r="F6" s="547" t="n">
        <v>5300</v>
      </c>
      <c r="G6" s="548" t="inlineStr">
        <is>
          <t>หมวดตอบแทน ใช้สอยและวัสดุ</t>
        </is>
      </c>
    </row>
    <row r="7">
      <c r="A7" s="555" t="inlineStr">
        <is>
          <t>FP-GL</t>
        </is>
      </c>
      <c r="B7" s="546" t="inlineStr">
        <is>
          <t>7033003</t>
        </is>
      </c>
      <c r="C7" s="555" t="inlineStr">
        <is>
          <t>ค่าตอบแทนกรรมการประชุมอื่นๆ</t>
        </is>
      </c>
      <c r="D7" s="547" t="n">
        <v>6201020002</v>
      </c>
      <c r="E7" s="555">
        <f>C7</f>
        <v/>
      </c>
      <c r="F7" s="547" t="n">
        <v>5300</v>
      </c>
      <c r="G7" s="548" t="inlineStr">
        <is>
          <t>หมวดตอบแทน ใช้สอยและวัสดุ</t>
        </is>
      </c>
    </row>
    <row r="8">
      <c r="A8" s="555" t="inlineStr">
        <is>
          <t>FP-GL</t>
        </is>
      </c>
      <c r="B8" s="546" t="inlineStr">
        <is>
          <t>7033112</t>
        </is>
      </c>
      <c r="C8" s="555" t="inlineStr">
        <is>
          <t>ค่าตอบแทนผู้ตรวจสอบบัญชี</t>
        </is>
      </c>
      <c r="D8" s="547" t="n">
        <v>6201020003</v>
      </c>
      <c r="E8" s="555">
        <f>C8</f>
        <v/>
      </c>
      <c r="F8" s="547" t="n">
        <v>5300</v>
      </c>
      <c r="G8" s="548" t="inlineStr">
        <is>
          <t>หมวดตอบแทน ใช้สอยและวัสดุ</t>
        </is>
      </c>
    </row>
    <row r="9">
      <c r="A9" s="555" t="inlineStr">
        <is>
          <t>FP-GL</t>
        </is>
      </c>
      <c r="B9" s="546" t="inlineStr">
        <is>
          <t>7033004</t>
        </is>
      </c>
      <c r="C9" s="555" t="inlineStr">
        <is>
          <t>ค่าตอบแทนอาจารย์พิเศษ</t>
        </is>
      </c>
      <c r="D9" s="547" t="n">
        <v>6201020005</v>
      </c>
      <c r="E9" s="555">
        <f>C9</f>
        <v/>
      </c>
      <c r="F9" s="547" t="n">
        <v>5300</v>
      </c>
      <c r="G9" s="548" t="inlineStr">
        <is>
          <t>หมวดตอบแทน ใช้สอยและวัสดุ</t>
        </is>
      </c>
    </row>
    <row r="10">
      <c r="A10" s="555" t="inlineStr">
        <is>
          <t>FP-GL</t>
        </is>
      </c>
      <c r="B10" s="546" t="inlineStr">
        <is>
          <t>7033005</t>
        </is>
      </c>
      <c r="C10" s="555" t="inlineStr">
        <is>
          <t>ค่าตอบแทนอาจารย์ประสานงาน</t>
        </is>
      </c>
      <c r="D10" s="547" t="n">
        <v>6201020006</v>
      </c>
      <c r="E10" s="555">
        <f>C10</f>
        <v/>
      </c>
      <c r="F10" s="547" t="n">
        <v>5300</v>
      </c>
      <c r="G10" s="548" t="inlineStr">
        <is>
          <t>หมวดตอบแทน ใช้สอยและวัสดุ</t>
        </is>
      </c>
    </row>
    <row r="11">
      <c r="A11" s="555" t="inlineStr">
        <is>
          <t>FP-GL</t>
        </is>
      </c>
      <c r="B11" s="546" t="inlineStr">
        <is>
          <t>7033113</t>
        </is>
      </c>
      <c r="C11" s="555" t="inlineStr">
        <is>
          <t>ค่าตอบแทนผู้ช่วยสอน</t>
        </is>
      </c>
      <c r="D11" s="547" t="n">
        <v>6201020007</v>
      </c>
      <c r="E11" s="555">
        <f>C11</f>
        <v/>
      </c>
      <c r="F11" s="547" t="n">
        <v>5300</v>
      </c>
      <c r="G11" s="548" t="inlineStr">
        <is>
          <t>หมวดตอบแทน ใช้สอยและวัสดุ</t>
        </is>
      </c>
    </row>
    <row r="12">
      <c r="A12" s="555" t="inlineStr">
        <is>
          <t>FP-GL</t>
        </is>
      </c>
      <c r="B12" s="546" t="inlineStr">
        <is>
          <t>7033114</t>
        </is>
      </c>
      <c r="C12" s="555" t="inlineStr">
        <is>
          <t>ค่าตอบแทนแพทย์</t>
        </is>
      </c>
      <c r="D12" s="547" t="n">
        <v>6201020008</v>
      </c>
      <c r="E12" s="555">
        <f>C12</f>
        <v/>
      </c>
      <c r="F12" s="547" t="n">
        <v>5300</v>
      </c>
      <c r="G12" s="548" t="inlineStr">
        <is>
          <t>หมวดตอบแทน ใช้สอยและวัสดุ</t>
        </is>
      </c>
    </row>
    <row r="13">
      <c r="A13" s="555" t="inlineStr">
        <is>
          <t>FP-GL</t>
        </is>
      </c>
      <c r="B13" s="546" t="inlineStr">
        <is>
          <t>7033006</t>
        </is>
      </c>
      <c r="C13" s="555" t="inlineStr">
        <is>
          <t>ค่าตอบแทนอาจารย์ผู้ควบคุมฝึกปฏิบัติงาน นศ.</t>
        </is>
      </c>
      <c r="D13" s="547" t="n">
        <v>6201020009</v>
      </c>
      <c r="E13" s="555">
        <f>C13</f>
        <v/>
      </c>
      <c r="F13" s="547" t="n">
        <v>5300</v>
      </c>
      <c r="G13" s="548" t="inlineStr">
        <is>
          <t>หมวดตอบแทน ใช้สอยและวัสดุ</t>
        </is>
      </c>
    </row>
    <row r="14">
      <c r="A14" s="555" t="inlineStr">
        <is>
          <t>FP-GL</t>
        </is>
      </c>
      <c r="B14" s="546" t="inlineStr">
        <is>
          <t>7033016</t>
        </is>
      </c>
      <c r="C14" s="555" t="inlineStr">
        <is>
          <t>เงินเพิ่มพิเศษ</t>
        </is>
      </c>
      <c r="D14" s="547" t="n">
        <v>6201020010</v>
      </c>
      <c r="E14" s="555">
        <f>C14</f>
        <v/>
      </c>
      <c r="F14" s="547" t="n">
        <v>5300</v>
      </c>
      <c r="G14" s="548" t="inlineStr">
        <is>
          <t>หมวดตอบแทน ใช้สอยและวัสดุ</t>
        </is>
      </c>
    </row>
    <row r="15">
      <c r="A15" s="555" t="inlineStr">
        <is>
          <t>FP-GL</t>
        </is>
      </c>
      <c r="B15" s="546" t="inlineStr">
        <is>
          <t>7033017</t>
        </is>
      </c>
      <c r="C15" s="555" t="inlineStr">
        <is>
          <t>ค่าตอบแทนทันตแพทย์</t>
        </is>
      </c>
      <c r="D15" s="547" t="n">
        <v>6201020011</v>
      </c>
      <c r="E15" s="555">
        <f>C15</f>
        <v/>
      </c>
      <c r="F15" s="547" t="n">
        <v>5300</v>
      </c>
      <c r="G15" s="548" t="inlineStr">
        <is>
          <t>หมวดตอบแทน ใช้สอยและวัสดุ</t>
        </is>
      </c>
    </row>
    <row r="16">
      <c r="A16" s="555" t="inlineStr">
        <is>
          <t>FP-GL</t>
        </is>
      </c>
      <c r="B16" s="546" t="inlineStr">
        <is>
          <t>7033117</t>
        </is>
      </c>
      <c r="C16" s="555" t="inlineStr">
        <is>
          <t>ค่าตอบแทนพยาบาล</t>
        </is>
      </c>
      <c r="D16" s="547" t="n">
        <v>6201020012</v>
      </c>
      <c r="E16" s="555">
        <f>C16</f>
        <v/>
      </c>
      <c r="F16" s="547" t="n">
        <v>5300</v>
      </c>
      <c r="G16" s="548" t="inlineStr">
        <is>
          <t>หมวดตอบแทน ใช้สอยและวัสดุ</t>
        </is>
      </c>
    </row>
    <row r="17">
      <c r="A17" s="555" t="inlineStr">
        <is>
          <t>FP-GL</t>
        </is>
      </c>
      <c r="B17" s="546" t="inlineStr">
        <is>
          <t>7033118</t>
        </is>
      </c>
      <c r="C17" s="555" t="inlineStr">
        <is>
          <t>เงินเพิ่มพิเศษสำหรับตำแหน่งที่ปฏิบัติงานด้านสาธารณสุข</t>
        </is>
      </c>
      <c r="D17" s="547" t="n">
        <v>6201020013</v>
      </c>
      <c r="E17" s="555">
        <f>C17</f>
        <v/>
      </c>
      <c r="F17" s="547" t="n">
        <v>5300</v>
      </c>
      <c r="G17" s="548" t="inlineStr">
        <is>
          <t>หมวดตอบแทน ใช้สอยและวัสดุ</t>
        </is>
      </c>
    </row>
    <row r="18">
      <c r="A18" s="555" t="inlineStr">
        <is>
          <t>FP-GL</t>
        </is>
      </c>
      <c r="B18" s="546" t="inlineStr">
        <is>
          <t>7033119</t>
        </is>
      </c>
      <c r="C18" s="555" t="inlineStr">
        <is>
          <t>เงินสมมนาคุณผู้ปฏิบัติงานกายวิภาคศาสตร์และสรีรวิทยา</t>
        </is>
      </c>
      <c r="D18" s="547" t="n">
        <v>6201020014</v>
      </c>
      <c r="E18" s="555">
        <f>C18</f>
        <v/>
      </c>
      <c r="F18" s="547" t="n">
        <v>5300</v>
      </c>
      <c r="G18" s="548" t="inlineStr">
        <is>
          <t>หมวดตอบแทน ใช้สอยและวัสดุ</t>
        </is>
      </c>
    </row>
    <row r="19">
      <c r="A19" s="555" t="inlineStr">
        <is>
          <t>FP-GL</t>
        </is>
      </c>
      <c r="B19" s="546" t="inlineStr">
        <is>
          <t>7033120</t>
        </is>
      </c>
      <c r="C19" s="555" t="inlineStr">
        <is>
          <t>ค่าตอบแทนปฎิบัติงานในเวร</t>
        </is>
      </c>
      <c r="D19" s="547" t="n">
        <v>6201020015</v>
      </c>
      <c r="E19" s="555">
        <f>C19</f>
        <v/>
      </c>
      <c r="F19" s="547" t="n">
        <v>5300</v>
      </c>
      <c r="G19" s="548" t="inlineStr">
        <is>
          <t>หมวดตอบแทน ใช้สอยและวัสดุ</t>
        </is>
      </c>
    </row>
    <row r="20">
      <c r="A20" s="555" t="inlineStr">
        <is>
          <t>FP-GL</t>
        </is>
      </c>
      <c r="B20" s="546" t="inlineStr">
        <is>
          <t>7033121</t>
        </is>
      </c>
      <c r="C20" s="555" t="inlineStr">
        <is>
          <t>ค่าตอบแทนเพิ่มพิเศษ</t>
        </is>
      </c>
      <c r="D20" s="547" t="n">
        <v>6201020016</v>
      </c>
      <c r="E20" s="555">
        <f>C20</f>
        <v/>
      </c>
      <c r="F20" s="547" t="n">
        <v>5300</v>
      </c>
      <c r="G20" s="548" t="inlineStr">
        <is>
          <t>หมวดตอบแทน ใช้สอยและวัสดุ</t>
        </is>
      </c>
    </row>
    <row r="21">
      <c r="A21" s="555" t="inlineStr">
        <is>
          <t>FP-GL</t>
        </is>
      </c>
      <c r="B21" s="546" t="inlineStr">
        <is>
          <t>7033314</t>
        </is>
      </c>
      <c r="C21" s="555" t="inlineStr">
        <is>
          <t>ค่าตอบแทนวิทยากรภายใน</t>
        </is>
      </c>
      <c r="D21" s="547" t="n">
        <v>6201020017</v>
      </c>
      <c r="E21" s="555">
        <f>C21</f>
        <v/>
      </c>
      <c r="F21" s="547" t="n">
        <v>5300</v>
      </c>
      <c r="G21" s="548" t="inlineStr">
        <is>
          <t>หมวดตอบแทน ใช้สอยและวัสดุ</t>
        </is>
      </c>
    </row>
    <row r="22">
      <c r="A22" s="555" t="inlineStr">
        <is>
          <t>FP-GL</t>
        </is>
      </c>
      <c r="B22" s="546" t="inlineStr">
        <is>
          <t>7033315</t>
        </is>
      </c>
      <c r="C22" s="555" t="inlineStr">
        <is>
          <t>ค่าตอบแทนผู้ช่วยวิทยากรภายใน</t>
        </is>
      </c>
      <c r="D22" s="547" t="n">
        <v>6201020018</v>
      </c>
      <c r="E22" s="555">
        <f>C22</f>
        <v/>
      </c>
      <c r="F22" s="547" t="n">
        <v>5300</v>
      </c>
      <c r="G22" s="548" t="inlineStr">
        <is>
          <t>หมวดตอบแทน ใช้สอยและวัสดุ</t>
        </is>
      </c>
    </row>
    <row r="23">
      <c r="A23" s="555" t="inlineStr">
        <is>
          <t>FP-GL</t>
        </is>
      </c>
      <c r="B23" s="546" t="inlineStr">
        <is>
          <t>7033316</t>
        </is>
      </c>
      <c r="C23" s="555" t="inlineStr">
        <is>
          <t>ค่าตอบแทนวิทยากรภายนอก</t>
        </is>
      </c>
      <c r="D23" s="547" t="n">
        <v>6201020019</v>
      </c>
      <c r="E23" s="555">
        <f>C23</f>
        <v/>
      </c>
      <c r="F23" s="547" t="n">
        <v>5300</v>
      </c>
      <c r="G23" s="548" t="inlineStr">
        <is>
          <t>หมวดตอบแทน ใช้สอยและวัสดุ</t>
        </is>
      </c>
    </row>
    <row r="24">
      <c r="A24" s="555" t="inlineStr">
        <is>
          <t>FP-GL</t>
        </is>
      </c>
      <c r="B24" s="546" t="inlineStr">
        <is>
          <t>7033317</t>
        </is>
      </c>
      <c r="C24" s="555" t="inlineStr">
        <is>
          <t>ค่าตอบแทนผู้ช่วยวิทยากรภายนอก</t>
        </is>
      </c>
      <c r="D24" s="547" t="n">
        <v>6201020020</v>
      </c>
      <c r="E24" s="555">
        <f>C24</f>
        <v/>
      </c>
      <c r="F24" s="547" t="n">
        <v>5300</v>
      </c>
      <c r="G24" s="548" t="inlineStr">
        <is>
          <t>หมวดตอบแทน ใช้สอยและวัสดุ</t>
        </is>
      </c>
    </row>
    <row r="25">
      <c r="A25" s="555" t="inlineStr">
        <is>
          <t>FP-GL</t>
        </is>
      </c>
      <c r="B25" s="546" t="inlineStr">
        <is>
          <t>7033318</t>
        </is>
      </c>
      <c r="C25" s="555" t="inlineStr">
        <is>
          <t>ค่าตอบแทนวิทยากรพิเศษในรายวิชา</t>
        </is>
      </c>
      <c r="D25" s="547" t="n">
        <v>6201020021</v>
      </c>
      <c r="E25" s="555">
        <f>C25</f>
        <v/>
      </c>
      <c r="F25" s="547" t="n">
        <v>5300</v>
      </c>
      <c r="G25" s="548" t="inlineStr">
        <is>
          <t>หมวดตอบแทน ใช้สอยและวัสดุ</t>
        </is>
      </c>
    </row>
    <row r="26">
      <c r="A26" s="555" t="inlineStr">
        <is>
          <t>FP-GL</t>
        </is>
      </c>
      <c r="B26" s="546" t="inlineStr">
        <is>
          <t>7033323</t>
        </is>
      </c>
      <c r="C26" s="555" t="inlineStr">
        <is>
          <t>ค่าตอบแทนวิชาชีพ CPA</t>
        </is>
      </c>
      <c r="D26" s="547" t="n">
        <v>6201020022</v>
      </c>
      <c r="E26" s="555">
        <f>C26</f>
        <v/>
      </c>
      <c r="F26" s="547" t="n">
        <v>5300</v>
      </c>
      <c r="G26" s="548" t="inlineStr">
        <is>
          <t>หมวดตอบแทน ใช้สอยและวัสดุ</t>
        </is>
      </c>
    </row>
    <row r="27">
      <c r="A27" s="555" t="inlineStr">
        <is>
          <t>FP-GL</t>
        </is>
      </c>
      <c r="B27" s="546" t="inlineStr">
        <is>
          <t>7033324</t>
        </is>
      </c>
      <c r="C27" s="555" t="inlineStr">
        <is>
          <t>ค่าตอบแทนผู้ทรงคุณวุฒิอ่านข้อเสนอโครงการวิชาการ</t>
        </is>
      </c>
      <c r="D27" s="547" t="n">
        <v>6201020023</v>
      </c>
      <c r="E27" s="555">
        <f>C27</f>
        <v/>
      </c>
      <c r="F27" s="547" t="n">
        <v>5300</v>
      </c>
      <c r="G27" s="548" t="inlineStr">
        <is>
          <t>หมวดตอบแทน ใช้สอยและวัสดุ</t>
        </is>
      </c>
    </row>
    <row r="28">
      <c r="A28" s="555" t="inlineStr">
        <is>
          <t>FP-GL</t>
        </is>
      </c>
      <c r="B28" s="546" t="inlineStr">
        <is>
          <t>7033325</t>
        </is>
      </c>
      <c r="C28" s="555" t="inlineStr">
        <is>
          <t>ค่าตอบแทนผู้ทรงคุณวุฒิอ่านรายงานวิจัยฉบับสมบูรณ์</t>
        </is>
      </c>
      <c r="D28" s="547" t="n">
        <v>6201020024</v>
      </c>
      <c r="E28" s="555">
        <f>C28</f>
        <v/>
      </c>
      <c r="F28" s="547" t="n">
        <v>5300</v>
      </c>
      <c r="G28" s="548" t="inlineStr">
        <is>
          <t>หมวดตอบแทน ใช้สอยและวัสดุ</t>
        </is>
      </c>
    </row>
    <row r="29">
      <c r="A29" s="555" t="inlineStr">
        <is>
          <t>FP-GL</t>
        </is>
      </c>
      <c r="B29" s="546" t="inlineStr">
        <is>
          <t>7033326</t>
        </is>
      </c>
      <c r="C29" s="555" t="inlineStr">
        <is>
          <t>ค่าตอบแทนผู้ทรงคุณวุฒิอ่านบทความวิจัยและบทวิชาการ</t>
        </is>
      </c>
      <c r="D29" s="547" t="n">
        <v>6201020025</v>
      </c>
      <c r="E29" s="555">
        <f>C29</f>
        <v/>
      </c>
      <c r="F29" s="547" t="n">
        <v>5300</v>
      </c>
      <c r="G29" s="548" t="inlineStr">
        <is>
          <t>หมวดตอบแทน ใช้สอยและวัสดุ</t>
        </is>
      </c>
    </row>
    <row r="30">
      <c r="A30" s="555" t="inlineStr">
        <is>
          <t>FP-GL</t>
        </is>
      </c>
      <c r="B30" s="546" t="inlineStr">
        <is>
          <t>7033319</t>
        </is>
      </c>
      <c r="C30" s="555" t="inlineStr">
        <is>
          <t>เงินเพิ่มพิเศษแพทย์</t>
        </is>
      </c>
      <c r="D30" s="547" t="n">
        <v>6201020026</v>
      </c>
      <c r="E30" s="555">
        <f>C30</f>
        <v/>
      </c>
      <c r="F30" s="547" t="n">
        <v>5300</v>
      </c>
      <c r="G30" s="548" t="inlineStr">
        <is>
          <t>หมวดตอบแทน ใช้สอยและวัสดุ</t>
        </is>
      </c>
    </row>
    <row r="31">
      <c r="A31" s="555" t="inlineStr">
        <is>
          <t>FP-GL</t>
        </is>
      </c>
      <c r="B31" s="546" t="inlineStr">
        <is>
          <t>7033320</t>
        </is>
      </c>
      <c r="C31" s="555" t="inlineStr">
        <is>
          <t>เงินเพิ่มพิเศษทันตแพทย์</t>
        </is>
      </c>
      <c r="D31" s="547" t="n">
        <v>6201020027</v>
      </c>
      <c r="E31" s="555">
        <f>C31</f>
        <v/>
      </c>
      <c r="F31" s="547" t="n">
        <v>5300</v>
      </c>
      <c r="G31" s="548" t="inlineStr">
        <is>
          <t>หมวดตอบแทน ใช้สอยและวัสดุ</t>
        </is>
      </c>
    </row>
    <row r="32">
      <c r="A32" s="555" t="inlineStr">
        <is>
          <t>FP-GL</t>
        </is>
      </c>
      <c r="B32" s="546" t="inlineStr">
        <is>
          <t>7033321</t>
        </is>
      </c>
      <c r="C32" s="555" t="inlineStr">
        <is>
          <t>เงินเพิ่มพิเศษแพทย์แผนจีน</t>
        </is>
      </c>
      <c r="D32" s="547" t="n">
        <v>6201020028</v>
      </c>
      <c r="E32" s="555">
        <f>C32</f>
        <v/>
      </c>
      <c r="F32" s="547" t="n">
        <v>5300</v>
      </c>
      <c r="G32" s="548" t="inlineStr">
        <is>
          <t>หมวดตอบแทน ใช้สอยและวัสดุ</t>
        </is>
      </c>
    </row>
    <row r="33">
      <c r="A33" s="555" t="inlineStr">
        <is>
          <t>FP-GL</t>
        </is>
      </c>
      <c r="B33" s="546" t="inlineStr">
        <is>
          <t>7033322</t>
        </is>
      </c>
      <c r="C33" s="555" t="inlineStr">
        <is>
          <t>เงินเพิ่มทักษะวิชาชีพสำหรับตำแหน่งพนักงานขับรถ</t>
        </is>
      </c>
      <c r="D33" s="547" t="n">
        <v>6201020029</v>
      </c>
      <c r="E33" s="555">
        <f>C33</f>
        <v/>
      </c>
      <c r="F33" s="547" t="n">
        <v>5300</v>
      </c>
      <c r="G33" s="548" t="inlineStr">
        <is>
          <t>หมวดตอบแทน ใช้สอยและวัสดุ</t>
        </is>
      </c>
    </row>
    <row r="34">
      <c r="A34" s="555" t="inlineStr">
        <is>
          <t>FP-GL</t>
        </is>
      </c>
      <c r="B34" s="546" t="inlineStr">
        <is>
          <t>7033199</t>
        </is>
      </c>
      <c r="C34" s="555" t="inlineStr">
        <is>
          <t>ค่าตอบแทนอื่น</t>
        </is>
      </c>
      <c r="D34" s="547" t="n">
        <v>6201020099</v>
      </c>
      <c r="E34" s="555">
        <f>C34</f>
        <v/>
      </c>
      <c r="F34" s="547" t="n">
        <v>5300</v>
      </c>
      <c r="G34" s="548" t="inlineStr">
        <is>
          <t>หมวดตอบแทน ใช้สอยและวัสดุ</t>
        </is>
      </c>
    </row>
    <row r="35">
      <c r="A35" s="555" t="inlineStr">
        <is>
          <t>FP-GL</t>
        </is>
      </c>
      <c r="B35" s="546" t="inlineStr">
        <is>
          <t>7033007</t>
        </is>
      </c>
      <c r="C35" s="555" t="inlineStr">
        <is>
          <t>ค่าตอบแทนผู้ตรวจวิทยานิพนธ์/ดุษฎีนิพนธ์</t>
        </is>
      </c>
      <c r="D35" s="547" t="n">
        <v>6201030001</v>
      </c>
      <c r="E35" s="555">
        <f>C35</f>
        <v/>
      </c>
      <c r="F35" s="547" t="n">
        <v>5300</v>
      </c>
      <c r="G35" s="548" t="inlineStr">
        <is>
          <t>หมวดตอบแทน ใช้สอยและวัสดุ</t>
        </is>
      </c>
    </row>
    <row r="36">
      <c r="A36" s="555" t="inlineStr">
        <is>
          <t>FP-GL</t>
        </is>
      </c>
      <c r="B36" s="546" t="inlineStr">
        <is>
          <t>7033327</t>
        </is>
      </c>
      <c r="C36" s="555" t="inlineStr">
        <is>
          <t>ค่าตอบแทนการเผยแพร่บทความวิจัย</t>
        </is>
      </c>
      <c r="D36" s="547" t="n">
        <v>6201030002</v>
      </c>
      <c r="E36" s="555">
        <f>C36</f>
        <v/>
      </c>
      <c r="F36" s="547" t="n">
        <v>5300</v>
      </c>
      <c r="G36" s="548" t="inlineStr">
        <is>
          <t>หมวดตอบแทน ใช้สอยและวัสดุ</t>
        </is>
      </c>
    </row>
    <row r="37">
      <c r="A37" s="555" t="inlineStr">
        <is>
          <t>FP-GL</t>
        </is>
      </c>
      <c r="B37" s="546" t="inlineStr">
        <is>
          <t>7033008</t>
        </is>
      </c>
      <c r="C37" s="555" t="inlineStr">
        <is>
          <t>ค่าตอบแทนตรวจผลงานวิชาการ</t>
        </is>
      </c>
      <c r="D37" s="547" t="n">
        <v>6201030004</v>
      </c>
      <c r="E37" s="555">
        <f>C37</f>
        <v/>
      </c>
      <c r="F37" s="547" t="n">
        <v>5300</v>
      </c>
      <c r="G37" s="548" t="inlineStr">
        <is>
          <t>หมวดตอบแทน ใช้สอยและวัสดุ</t>
        </is>
      </c>
    </row>
    <row r="38">
      <c r="A38" s="555" t="inlineStr">
        <is>
          <t>FP-GL</t>
        </is>
      </c>
      <c r="B38" s="546" t="inlineStr">
        <is>
          <t>7033122</t>
        </is>
      </c>
      <c r="C38" s="555" t="inlineStr">
        <is>
          <t>ค่าตอบแทนนักศึกษาช่วยงาน</t>
        </is>
      </c>
      <c r="D38" s="547" t="n">
        <v>6201030005</v>
      </c>
      <c r="E38" s="555">
        <f>C38</f>
        <v/>
      </c>
      <c r="F38" s="547" t="n">
        <v>5300</v>
      </c>
      <c r="G38" s="548" t="inlineStr">
        <is>
          <t>หมวดตอบแทน ใช้สอยและวัสดุ</t>
        </is>
      </c>
    </row>
    <row r="39">
      <c r="A39" s="555" t="inlineStr">
        <is>
          <t>FP-GL</t>
        </is>
      </c>
      <c r="B39" s="546" t="inlineStr">
        <is>
          <t>7033328</t>
        </is>
      </c>
      <c r="C39" s="555" t="inlineStr">
        <is>
          <t>ค่าตอบแทนการแผยแพร่งานสร้างสรรค์</t>
        </is>
      </c>
      <c r="D39" s="547" t="n">
        <v>6201030006</v>
      </c>
      <c r="E39" s="555">
        <f>C39</f>
        <v/>
      </c>
      <c r="F39" s="547" t="n">
        <v>5300</v>
      </c>
      <c r="G39" s="548" t="inlineStr">
        <is>
          <t>หมวดตอบแทน ใช้สอยและวัสดุ</t>
        </is>
      </c>
    </row>
    <row r="40">
      <c r="A40" s="555" t="inlineStr">
        <is>
          <t>FP-GL</t>
        </is>
      </c>
      <c r="B40" s="546" t="inlineStr">
        <is>
          <t>7033329</t>
        </is>
      </c>
      <c r="C40" s="555" t="inlineStr">
        <is>
          <t>ค่าตอบแทนงานแปล</t>
        </is>
      </c>
      <c r="D40" s="547" t="n">
        <v>6201030007</v>
      </c>
      <c r="E40" s="555">
        <f>C40</f>
        <v/>
      </c>
      <c r="F40" s="547" t="n">
        <v>5300</v>
      </c>
      <c r="G40" s="548" t="inlineStr">
        <is>
          <t>หมวดตอบแทน ใช้สอยและวัสดุ</t>
        </is>
      </c>
    </row>
    <row r="41">
      <c r="A41" s="555" t="inlineStr">
        <is>
          <t>FP-GL</t>
        </is>
      </c>
      <c r="B41" s="546" t="inlineStr">
        <is>
          <t>7033330</t>
        </is>
      </c>
      <c r="C41" s="555" t="inlineStr">
        <is>
          <t>ค่าตอบแทนการสอบคัดเลือกเข้าศึกษา</t>
        </is>
      </c>
      <c r="D41" s="547" t="n">
        <v>6201030008</v>
      </c>
      <c r="E41" s="555">
        <f>C41</f>
        <v/>
      </c>
      <c r="F41" s="547" t="n">
        <v>5300</v>
      </c>
      <c r="G41" s="548" t="inlineStr">
        <is>
          <t>หมวดตอบแทน ใช้สอยและวัสดุ</t>
        </is>
      </c>
    </row>
    <row r="42">
      <c r="A42" s="555" t="inlineStr">
        <is>
          <t>FP-GL</t>
        </is>
      </c>
      <c r="B42" s="546" t="inlineStr">
        <is>
          <t>7033331</t>
        </is>
      </c>
      <c r="C42" s="555" t="inlineStr">
        <is>
          <t>ค่าตอบแทนการสอบประจำภาค</t>
        </is>
      </c>
      <c r="D42" s="547" t="n">
        <v>6201030009</v>
      </c>
      <c r="E42" s="555">
        <f>C42</f>
        <v/>
      </c>
      <c r="F42" s="547" t="n">
        <v>5300</v>
      </c>
      <c r="G42" s="548" t="inlineStr">
        <is>
          <t>หมวดตอบแทน ใช้สอยและวัสดุ</t>
        </is>
      </c>
    </row>
    <row r="43">
      <c r="A43" s="555" t="inlineStr">
        <is>
          <t>FP-GL</t>
        </is>
      </c>
      <c r="B43" s="546" t="inlineStr">
        <is>
          <t>7033332</t>
        </is>
      </c>
      <c r="C43" s="555" t="inlineStr">
        <is>
          <t>ค่าตอบแทนการสอบประมวลความรู้ การสอบวัดคุณสม</t>
        </is>
      </c>
      <c r="D43" s="547" t="n">
        <v>6201030010</v>
      </c>
      <c r="E43" s="555">
        <f>C43</f>
        <v/>
      </c>
      <c r="F43" s="547" t="n">
        <v>5300</v>
      </c>
      <c r="G43" s="548" t="inlineStr">
        <is>
          <t>หมวดตอบแทน ใช้สอยและวัสดุ</t>
        </is>
      </c>
    </row>
    <row r="44">
      <c r="A44" s="555" t="inlineStr">
        <is>
          <t>FP-GL</t>
        </is>
      </c>
      <c r="B44" s="546" t="inlineStr">
        <is>
          <t>7033333</t>
        </is>
      </c>
      <c r="C44" s="555" t="inlineStr">
        <is>
          <t>ค่าตอบแทนรายวิชาการศึกษาโดยอิสระหรือสารนิพ</t>
        </is>
      </c>
      <c r="D44" s="547" t="n">
        <v>6201030011</v>
      </c>
      <c r="E44" s="555">
        <f>C44</f>
        <v/>
      </c>
      <c r="F44" s="547" t="n">
        <v>5300</v>
      </c>
      <c r="G44" s="548" t="inlineStr">
        <is>
          <t>หมวดตอบแทน ใช้สอยและวัสดุ</t>
        </is>
      </c>
    </row>
    <row r="45">
      <c r="A45" s="555" t="inlineStr">
        <is>
          <t>FP-GL</t>
        </is>
      </c>
      <c r="B45" s="546" t="inlineStr">
        <is>
          <t>7033334</t>
        </is>
      </c>
      <c r="C45" s="555" t="inlineStr">
        <is>
          <t>ค่าตอบแทนรายวิชาวิทยานิพนธ์</t>
        </is>
      </c>
      <c r="D45" s="547" t="n">
        <v>6201030012</v>
      </c>
      <c r="E45" s="555">
        <f>C45</f>
        <v/>
      </c>
      <c r="F45" s="547" t="n">
        <v>5300</v>
      </c>
      <c r="G45" s="548" t="inlineStr">
        <is>
          <t>หมวดตอบแทน ใช้สอยและวัสดุ</t>
        </is>
      </c>
    </row>
    <row r="46">
      <c r="A46" s="555" t="inlineStr">
        <is>
          <t>FP-GL</t>
        </is>
      </c>
      <c r="B46" s="546" t="inlineStr">
        <is>
          <t>7033335</t>
        </is>
      </c>
      <c r="C46" s="555" t="inlineStr">
        <is>
          <t>ค่าตอบแทนรายวิชาดุษฎีนิพนธ์</t>
        </is>
      </c>
      <c r="D46" s="547" t="n">
        <v>6201030013</v>
      </c>
      <c r="E46" s="555">
        <f>C46</f>
        <v/>
      </c>
      <c r="F46" s="547" t="n">
        <v>5300</v>
      </c>
      <c r="G46" s="548" t="inlineStr">
        <is>
          <t>หมวดตอบแทน ใช้สอยและวัสดุ</t>
        </is>
      </c>
    </row>
    <row r="47">
      <c r="A47" s="555" t="inlineStr">
        <is>
          <t>FP-GL</t>
        </is>
      </c>
      <c r="B47" s="546" t="inlineStr">
        <is>
          <t>7033336</t>
        </is>
      </c>
      <c r="C47" s="555" t="inlineStr">
        <is>
          <t>ค่าตอบแทนการสอนรายวิชาปรับพื้นฐาน</t>
        </is>
      </c>
      <c r="D47" s="547" t="n">
        <v>6201030014</v>
      </c>
      <c r="E47" s="555">
        <f>C47</f>
        <v/>
      </c>
      <c r="F47" s="547" t="n">
        <v>5300</v>
      </c>
      <c r="G47" s="548" t="inlineStr">
        <is>
          <t>หมวดตอบแทน ใช้สอยและวัสดุ</t>
        </is>
      </c>
    </row>
    <row r="48">
      <c r="A48" s="555" t="inlineStr">
        <is>
          <t>FP-GL</t>
        </is>
      </c>
      <c r="B48" s="546" t="inlineStr">
        <is>
          <t>7033339</t>
        </is>
      </c>
      <c r="C48" s="555" t="inlineStr">
        <is>
          <t>ค่าใช้จ่ายเกี่ยวกับรายวิชาวิทยานิพนธ์</t>
        </is>
      </c>
      <c r="D48" s="547" t="n">
        <v>6201030015</v>
      </c>
      <c r="E48" s="555">
        <f>C48</f>
        <v/>
      </c>
      <c r="F48" s="547" t="n">
        <v>5300</v>
      </c>
      <c r="G48" s="548" t="inlineStr">
        <is>
          <t>หมวดตอบแทน ใช้สอยและวัสดุ</t>
        </is>
      </c>
    </row>
    <row r="49">
      <c r="A49" s="555" t="inlineStr">
        <is>
          <t>FP-GL</t>
        </is>
      </c>
      <c r="B49" s="546" t="inlineStr">
        <is>
          <t>7033399</t>
        </is>
      </c>
      <c r="C49" s="555" t="inlineStr">
        <is>
          <t>ค่าตอบแทนการเผยแพร่บทความทางวิชาการ</t>
        </is>
      </c>
      <c r="D49" s="547" t="n">
        <v>6201030016</v>
      </c>
      <c r="E49" s="555">
        <f>C49</f>
        <v/>
      </c>
      <c r="F49" s="547" t="n">
        <v>5300</v>
      </c>
      <c r="G49" s="548" t="inlineStr">
        <is>
          <t>หมวดตอบแทน ใช้สอยและวัสดุ</t>
        </is>
      </c>
    </row>
    <row r="50">
      <c r="A50" s="555" t="inlineStr">
        <is>
          <t>FP-GL</t>
        </is>
      </c>
      <c r="B50" s="546" t="inlineStr">
        <is>
          <t>7033201</t>
        </is>
      </c>
      <c r="C50" s="555" t="inlineStr">
        <is>
          <t>ค่ารับรอง</t>
        </is>
      </c>
      <c r="D50" s="547" t="n">
        <v>6202010001</v>
      </c>
      <c r="E50" s="555">
        <f>C50</f>
        <v/>
      </c>
      <c r="F50" s="547" t="n">
        <v>5300</v>
      </c>
      <c r="G50" s="548" t="inlineStr">
        <is>
          <t>หมวดตอบแทน ใช้สอยและวัสดุ</t>
        </is>
      </c>
    </row>
    <row r="51">
      <c r="A51" s="555" t="inlineStr">
        <is>
          <t>FP-GL</t>
        </is>
      </c>
      <c r="B51" s="546" t="inlineStr">
        <is>
          <t>7033202</t>
        </is>
      </c>
      <c r="C51" s="555" t="inlineStr">
        <is>
          <t>ค่าอาหารและเครื่องดื่ม</t>
        </is>
      </c>
      <c r="D51" s="547" t="n">
        <v>6202010002</v>
      </c>
      <c r="E51" s="555">
        <f>C51</f>
        <v/>
      </c>
      <c r="F51" s="547" t="n">
        <v>5300</v>
      </c>
      <c r="G51" s="548" t="inlineStr">
        <is>
          <t>หมวดตอบแทน ใช้สอยและวัสดุ</t>
        </is>
      </c>
    </row>
    <row r="52">
      <c r="A52" s="555" t="inlineStr">
        <is>
          <t>FP-GL</t>
        </is>
      </c>
      <c r="B52" s="546" t="inlineStr">
        <is>
          <t>7033340</t>
        </is>
      </c>
      <c r="C52" s="555" t="inlineStr">
        <is>
          <t>ค่ารับรองวิทยากร</t>
        </is>
      </c>
      <c r="D52" s="547" t="n">
        <v>6202010003</v>
      </c>
      <c r="E52" s="555">
        <f>C52</f>
        <v/>
      </c>
      <c r="F52" s="547" t="n">
        <v>5300</v>
      </c>
      <c r="G52" s="548" t="inlineStr">
        <is>
          <t>หมวดตอบแทน ใช้สอยและวัสดุ</t>
        </is>
      </c>
    </row>
    <row r="53">
      <c r="A53" s="555" t="inlineStr">
        <is>
          <t>FP-GL</t>
        </is>
      </c>
      <c r="B53" s="546" t="inlineStr">
        <is>
          <t>7033341</t>
        </is>
      </c>
      <c r="C53" s="555" t="inlineStr">
        <is>
          <t>ค่ารับรองวิทยากรพิเศษในรายวิชา</t>
        </is>
      </c>
      <c r="D53" s="547" t="n">
        <v>6202010004</v>
      </c>
      <c r="E53" s="555">
        <f>C53</f>
        <v/>
      </c>
      <c r="F53" s="547" t="n">
        <v>5300</v>
      </c>
      <c r="G53" s="548" t="inlineStr">
        <is>
          <t>หมวดตอบแทน ใช้สอยและวัสดุ</t>
        </is>
      </c>
    </row>
    <row r="54">
      <c r="A54" s="555" t="inlineStr">
        <is>
          <t>FP-GL</t>
        </is>
      </c>
      <c r="B54" s="546" t="inlineStr">
        <is>
          <t>7033342</t>
        </is>
      </c>
      <c r="C54" s="555" t="inlineStr">
        <is>
          <t>ค่ารับรองอาจารย์พิเศษ</t>
        </is>
      </c>
      <c r="D54" s="547" t="n">
        <v>6202010005</v>
      </c>
      <c r="E54" s="555">
        <f>C54</f>
        <v/>
      </c>
      <c r="F54" s="547" t="n">
        <v>5300</v>
      </c>
      <c r="G54" s="548" t="inlineStr">
        <is>
          <t>หมวดตอบแทน ใช้สอยและวัสดุ</t>
        </is>
      </c>
    </row>
    <row r="55">
      <c r="A55" s="555" t="inlineStr">
        <is>
          <t>FP-GL</t>
        </is>
      </c>
      <c r="B55" s="546" t="inlineStr">
        <is>
          <t>7033343</t>
        </is>
      </c>
      <c r="C55" s="555" t="inlineStr">
        <is>
          <t>ค่ารับรองกรรมการสอบโครงร่าง</t>
        </is>
      </c>
      <c r="D55" s="547" t="n">
        <v>6202010006</v>
      </c>
      <c r="E55" s="555">
        <f>C55</f>
        <v/>
      </c>
      <c r="F55" s="547" t="n">
        <v>5300</v>
      </c>
      <c r="G55" s="548" t="inlineStr">
        <is>
          <t>หมวดตอบแทน ใช้สอยและวัสดุ</t>
        </is>
      </c>
    </row>
    <row r="56">
      <c r="A56" s="555" t="inlineStr">
        <is>
          <t>FP-GL</t>
        </is>
      </c>
      <c r="B56" s="546" t="inlineStr">
        <is>
          <t>7033344</t>
        </is>
      </c>
      <c r="C56" s="555" t="inlineStr">
        <is>
          <t>ค่ารับรองกรรมการสอบป้องกัน</t>
        </is>
      </c>
      <c r="D56" s="547" t="n">
        <v>6202010007</v>
      </c>
      <c r="E56" s="555">
        <f>C56</f>
        <v/>
      </c>
      <c r="F56" s="547" t="n">
        <v>5300</v>
      </c>
      <c r="G56" s="548" t="inlineStr">
        <is>
          <t>หมวดตอบแทน ใช้สอยและวัสดุ</t>
        </is>
      </c>
    </row>
    <row r="57">
      <c r="A57" s="555" t="inlineStr">
        <is>
          <t>FP-GL</t>
        </is>
      </c>
      <c r="B57" s="546" t="inlineStr">
        <is>
          <t>7033345</t>
        </is>
      </c>
      <c r="C57" s="555" t="inlineStr">
        <is>
          <t>ค่าอาหารและเครื่องดื่มอาจารย์พิเศษ</t>
        </is>
      </c>
      <c r="D57" s="547" t="n">
        <v>6202010008</v>
      </c>
      <c r="E57" s="555">
        <f>C57</f>
        <v/>
      </c>
      <c r="F57" s="547" t="n">
        <v>5300</v>
      </c>
      <c r="G57" s="548" t="inlineStr">
        <is>
          <t>หมวดตอบแทน ใช้สอยและวัสดุ</t>
        </is>
      </c>
    </row>
    <row r="58">
      <c r="A58" s="555" t="inlineStr">
        <is>
          <t>FP-GL</t>
        </is>
      </c>
      <c r="B58" s="546" t="inlineStr">
        <is>
          <t>7033346</t>
        </is>
      </c>
      <c r="C58" s="555" t="inlineStr">
        <is>
          <t>ค่าอาหารและเครื่องดื่มวิทยากรพิเศษในรายวิชา</t>
        </is>
      </c>
      <c r="D58" s="547" t="n">
        <v>6202010009</v>
      </c>
      <c r="E58" s="555">
        <f>C58</f>
        <v/>
      </c>
      <c r="F58" s="547" t="n">
        <v>5300</v>
      </c>
      <c r="G58" s="548" t="inlineStr">
        <is>
          <t>หมวดตอบแทน ใช้สอยและวัสดุ</t>
        </is>
      </c>
    </row>
    <row r="59">
      <c r="A59" s="555" t="inlineStr">
        <is>
          <t>FP-GL</t>
        </is>
      </c>
      <c r="B59" s="546" t="inlineStr">
        <is>
          <t>7033347</t>
        </is>
      </c>
      <c r="C59" s="555" t="inlineStr">
        <is>
          <t>ค่าอาหารและเครื่องดื่มวิทยากร</t>
        </is>
      </c>
      <c r="D59" s="547" t="n">
        <v>6202010010</v>
      </c>
      <c r="E59" s="555">
        <f>C59</f>
        <v/>
      </c>
      <c r="F59" s="547" t="n">
        <v>5300</v>
      </c>
      <c r="G59" s="548" t="inlineStr">
        <is>
          <t>หมวดตอบแทน ใช้สอยและวัสดุ</t>
        </is>
      </c>
    </row>
    <row r="60">
      <c r="A60" s="555" t="inlineStr">
        <is>
          <t>FP-GL</t>
        </is>
      </c>
      <c r="B60" s="546" t="inlineStr">
        <is>
          <t>7033348</t>
        </is>
      </c>
      <c r="C60" s="555" t="inlineStr">
        <is>
          <t>ค่าอาหารและเครื่องดื่มนักศึกษา</t>
        </is>
      </c>
      <c r="D60" s="547" t="n">
        <v>6202010011</v>
      </c>
      <c r="E60" s="555">
        <f>C60</f>
        <v/>
      </c>
      <c r="F60" s="547" t="n">
        <v>5300</v>
      </c>
      <c r="G60" s="548" t="inlineStr">
        <is>
          <t>หมวดตอบแทน ใช้สอยและวัสดุ</t>
        </is>
      </c>
    </row>
    <row r="61">
      <c r="A61" s="555" t="inlineStr">
        <is>
          <t>FP-GL</t>
        </is>
      </c>
      <c r="B61" s="546" t="inlineStr">
        <is>
          <t>7033349</t>
        </is>
      </c>
      <c r="C61" s="555" t="inlineStr">
        <is>
          <t>ค่าอาหารและเครื่องดื่มพนักงาน</t>
        </is>
      </c>
      <c r="D61" s="547" t="n">
        <v>6202010012</v>
      </c>
      <c r="E61" s="555">
        <f>C61</f>
        <v/>
      </c>
      <c r="F61" s="547" t="n">
        <v>5300</v>
      </c>
      <c r="G61" s="548" t="inlineStr">
        <is>
          <t>หมวดตอบแทน ใช้สอยและวัสดุ</t>
        </is>
      </c>
    </row>
    <row r="62">
      <c r="A62" s="555" t="inlineStr">
        <is>
          <t>FP-GL</t>
        </is>
      </c>
      <c r="B62" s="546" t="inlineStr">
        <is>
          <t>7033350</t>
        </is>
      </c>
      <c r="C62" s="555" t="inlineStr">
        <is>
          <t>ค่าอาหารและเครื่องดื่มอาจารย์</t>
        </is>
      </c>
      <c r="D62" s="547" t="n">
        <v>6202010013</v>
      </c>
      <c r="E62" s="555">
        <f>C62</f>
        <v/>
      </c>
      <c r="F62" s="547" t="n">
        <v>5300</v>
      </c>
      <c r="G62" s="548" t="inlineStr">
        <is>
          <t>หมวดตอบแทน ใช้สอยและวัสดุ</t>
        </is>
      </c>
    </row>
    <row r="63">
      <c r="A63" s="555" t="inlineStr">
        <is>
          <t>FP-GL</t>
        </is>
      </c>
      <c r="B63" s="546" t="inlineStr">
        <is>
          <t>7033351</t>
        </is>
      </c>
      <c r="C63" s="555" t="inlineStr">
        <is>
          <t>ค่าอาหารและเครื่องดื่มกรรมการสอบโครงร่าง</t>
        </is>
      </c>
      <c r="D63" s="547" t="n">
        <v>6202010014</v>
      </c>
      <c r="E63" s="555">
        <f>C63</f>
        <v/>
      </c>
      <c r="F63" s="547" t="n">
        <v>5300</v>
      </c>
      <c r="G63" s="548" t="inlineStr">
        <is>
          <t>หมวดตอบแทน ใช้สอยและวัสดุ</t>
        </is>
      </c>
    </row>
    <row r="64">
      <c r="A64" s="555" t="inlineStr">
        <is>
          <t>FP-GL</t>
        </is>
      </c>
      <c r="B64" s="546" t="inlineStr">
        <is>
          <t>7033352</t>
        </is>
      </c>
      <c r="C64" s="555" t="inlineStr">
        <is>
          <t>ค่าอาหารและเครื่องดื่มกรรมการสอบป้องกัน</t>
        </is>
      </c>
      <c r="D64" s="547" t="n">
        <v>6202010015</v>
      </c>
      <c r="E64" s="555">
        <f>C64</f>
        <v/>
      </c>
      <c r="F64" s="547" t="n">
        <v>5300</v>
      </c>
      <c r="G64" s="548" t="inlineStr">
        <is>
          <t>หมวดตอบแทน ใช้สอยและวัสดุ</t>
        </is>
      </c>
    </row>
    <row r="65">
      <c r="A65" s="555" t="inlineStr">
        <is>
          <t>FP-GL</t>
        </is>
      </c>
      <c r="B65" s="546" t="inlineStr">
        <is>
          <t>7033353</t>
        </is>
      </c>
      <c r="C65" s="555" t="inlineStr">
        <is>
          <t>ค่าอาหารและเครื่องดื่มผู้เข้าร่วมโครงการ</t>
        </is>
      </c>
      <c r="D65" s="547" t="n">
        <v>6202010016</v>
      </c>
      <c r="E65" s="555">
        <f>C65</f>
        <v/>
      </c>
      <c r="F65" s="547" t="n">
        <v>5300</v>
      </c>
      <c r="G65" s="548" t="inlineStr">
        <is>
          <t>หมวดตอบแทน ใช้สอยและวัสดุ</t>
        </is>
      </c>
    </row>
    <row r="66">
      <c r="A66" s="555" t="inlineStr">
        <is>
          <t>FP-GL</t>
        </is>
      </c>
      <c r="B66" s="546" t="inlineStr">
        <is>
          <t>7033354</t>
        </is>
      </c>
      <c r="C66" s="555" t="inlineStr">
        <is>
          <t>ค่าอาหารและเครื่องดื่มสำหรับกรรมการมหาวิทยาลัย</t>
        </is>
      </c>
      <c r="D66" s="547" t="n">
        <v>6202010017</v>
      </c>
      <c r="E66" s="555">
        <f>C66</f>
        <v/>
      </c>
      <c r="F66" s="547" t="n">
        <v>5300</v>
      </c>
      <c r="G66" s="548" t="inlineStr">
        <is>
          <t>หมวดตอบแทน ใช้สอยและวัสดุ</t>
        </is>
      </c>
    </row>
    <row r="67">
      <c r="A67" s="555" t="inlineStr">
        <is>
          <t>FP-GL</t>
        </is>
      </c>
      <c r="B67" s="546" t="inlineStr">
        <is>
          <t>7033298</t>
        </is>
      </c>
      <c r="C67" s="555" t="inlineStr">
        <is>
          <t>ค่าใช้จ่ายในพิธีการต่างๆ</t>
        </is>
      </c>
      <c r="D67" s="547" t="n">
        <v>6202020001</v>
      </c>
      <c r="E67" s="555">
        <f>C67</f>
        <v/>
      </c>
      <c r="F67" s="547" t="n">
        <v>5300</v>
      </c>
      <c r="G67" s="548" t="inlineStr">
        <is>
          <t>หมวดตอบแทน ใช้สอยและวัสดุ</t>
        </is>
      </c>
    </row>
    <row r="68">
      <c r="A68" s="555" t="inlineStr">
        <is>
          <t>FP-GL</t>
        </is>
      </c>
      <c r="B68" s="546" t="inlineStr">
        <is>
          <t>7033301</t>
        </is>
      </c>
      <c r="C68" s="555" t="inlineStr">
        <is>
          <t>ค่าธรรมเนียมธนาคาร</t>
        </is>
      </c>
      <c r="D68" s="547" t="n">
        <v>6202031001</v>
      </c>
      <c r="E68" s="555">
        <f>C68</f>
        <v/>
      </c>
      <c r="F68" s="547" t="n">
        <v>5300</v>
      </c>
      <c r="G68" s="548" t="inlineStr">
        <is>
          <t>หมวดตอบแทน ใช้สอยและวัสดุ</t>
        </is>
      </c>
    </row>
    <row r="69">
      <c r="A69" s="555" t="inlineStr">
        <is>
          <t>FP-GL</t>
        </is>
      </c>
      <c r="B69" s="546" t="inlineStr">
        <is>
          <t>7033302</t>
        </is>
      </c>
      <c r="C69" s="555" t="inlineStr">
        <is>
          <t>ค่าธรรมเนียมฟ้องคดี</t>
        </is>
      </c>
      <c r="D69" s="547" t="n">
        <v>6202031002</v>
      </c>
      <c r="E69" s="555">
        <f>C69</f>
        <v/>
      </c>
      <c r="F69" s="547" t="n">
        <v>5300</v>
      </c>
      <c r="G69" s="548" t="inlineStr">
        <is>
          <t>หมวดตอบแทน ใช้สอยและวัสดุ</t>
        </is>
      </c>
    </row>
    <row r="70">
      <c r="A70" s="555" t="inlineStr">
        <is>
          <t>FP-GL</t>
        </is>
      </c>
      <c r="B70" s="546" t="inlineStr">
        <is>
          <t>7033303</t>
        </is>
      </c>
      <c r="C70" s="555" t="inlineStr">
        <is>
          <t>ค่าธรรมเนียมอื่น</t>
        </is>
      </c>
      <c r="D70" s="547" t="n">
        <v>6202031099</v>
      </c>
      <c r="E70" s="555">
        <f>C70</f>
        <v/>
      </c>
      <c r="F70" s="547" t="n">
        <v>5300</v>
      </c>
      <c r="G70" s="548" t="inlineStr">
        <is>
          <t>หมวดตอบแทน ใช้สอยและวัสดุ</t>
        </is>
      </c>
    </row>
    <row r="71">
      <c r="A71" s="555" t="inlineStr">
        <is>
          <t>FP-GL</t>
        </is>
      </c>
      <c r="B71" s="546" t="inlineStr">
        <is>
          <t>7033305</t>
        </is>
      </c>
      <c r="C71" s="555" t="inlineStr">
        <is>
          <t>ค่าเบี้ยประกันภัย-อาคารและสิ่งก่อสร้าง</t>
        </is>
      </c>
      <c r="D71" s="547" t="n">
        <v>6202032002</v>
      </c>
      <c r="E71" s="555">
        <f>C71</f>
        <v/>
      </c>
      <c r="F71" s="547" t="n">
        <v>5300</v>
      </c>
      <c r="G71" s="548" t="inlineStr">
        <is>
          <t>หมวดตอบแทน ใช้สอยและวัสดุ</t>
        </is>
      </c>
    </row>
    <row r="72">
      <c r="A72" s="555" t="inlineStr">
        <is>
          <t>FP-GL</t>
        </is>
      </c>
      <c r="B72" s="546" t="inlineStr">
        <is>
          <t>7033306</t>
        </is>
      </c>
      <c r="C72" s="555" t="inlineStr">
        <is>
          <t>ค่าเบี้ยประกันสุขภาพ-ลูกจ้างชั่วคราว</t>
        </is>
      </c>
      <c r="D72" s="547" t="n">
        <v>6202032003</v>
      </c>
      <c r="E72" s="555">
        <f>C72</f>
        <v/>
      </c>
      <c r="F72" s="547" t="n">
        <v>5300</v>
      </c>
      <c r="G72" s="548" t="inlineStr">
        <is>
          <t>หมวดตอบแทน ใช้สอยและวัสดุ</t>
        </is>
      </c>
    </row>
    <row r="73">
      <c r="A73" s="555" t="inlineStr">
        <is>
          <t>FP-GL</t>
        </is>
      </c>
      <c r="B73" s="546" t="inlineStr">
        <is>
          <t>7033307</t>
        </is>
      </c>
      <c r="C73" s="555" t="inlineStr">
        <is>
          <t>ค่าเบี้ยประกันอุบัติเหตุ-นักศึกษา</t>
        </is>
      </c>
      <c r="D73" s="547" t="n">
        <v>6202032004</v>
      </c>
      <c r="E73" s="555">
        <f>C73</f>
        <v/>
      </c>
      <c r="F73" s="547" t="n">
        <v>5300</v>
      </c>
      <c r="G73" s="548" t="inlineStr">
        <is>
          <t>หมวดตอบแทน ใช้สอยและวัสดุ</t>
        </is>
      </c>
    </row>
    <row r="74">
      <c r="A74" s="555" t="inlineStr">
        <is>
          <t>FP-GL</t>
        </is>
      </c>
      <c r="B74" s="546" t="inlineStr">
        <is>
          <t>7033308</t>
        </is>
      </c>
      <c r="C74" s="555" t="inlineStr">
        <is>
          <t>ค่าเบี้ยประกันภัย-ครุภัณฑ์</t>
        </is>
      </c>
      <c r="D74" s="547" t="n">
        <v>6202032005</v>
      </c>
      <c r="E74" s="555">
        <f>C74</f>
        <v/>
      </c>
      <c r="F74" s="547" t="n">
        <v>5300</v>
      </c>
      <c r="G74" s="548" t="inlineStr">
        <is>
          <t>หมวดตอบแทน ใช้สอยและวัสดุ</t>
        </is>
      </c>
    </row>
    <row r="75">
      <c r="A75" s="555" t="inlineStr">
        <is>
          <t>FP-GL</t>
        </is>
      </c>
      <c r="B75" s="546" t="inlineStr">
        <is>
          <t>7033355</t>
        </is>
      </c>
      <c r="C75" s="555" t="inlineStr">
        <is>
          <t>ค่าเบี้ยประกันภัย รถยนต์ จักรยานยนต์</t>
        </is>
      </c>
      <c r="D75" s="547" t="n">
        <v>6202032006</v>
      </c>
      <c r="E75" s="555">
        <f>C75</f>
        <v/>
      </c>
      <c r="F75" s="547" t="n">
        <v>5300</v>
      </c>
      <c r="G75" s="548" t="inlineStr">
        <is>
          <t>หมวดตอบแทน ใช้สอยและวัสดุ</t>
        </is>
      </c>
    </row>
    <row r="76">
      <c r="A76" s="555" t="inlineStr">
        <is>
          <t>FP-GL</t>
        </is>
      </c>
      <c r="B76" s="546" t="inlineStr">
        <is>
          <t>7033356</t>
        </is>
      </c>
      <c r="C76" s="555" t="inlineStr">
        <is>
          <t>ค่าภาษี ค่าพรบ รถยนต์ จักรยานยนต์</t>
        </is>
      </c>
      <c r="D76" s="547" t="n">
        <v>6202032007</v>
      </c>
      <c r="E76" s="555">
        <f>C76</f>
        <v/>
      </c>
      <c r="F76" s="547" t="n">
        <v>5300</v>
      </c>
      <c r="G76" s="548" t="inlineStr">
        <is>
          <t>หมวดตอบแทน ใช้สอยและวัสดุ</t>
        </is>
      </c>
    </row>
    <row r="77">
      <c r="A77" s="555" t="inlineStr">
        <is>
          <t>FP-GL</t>
        </is>
      </c>
      <c r="B77" s="546" t="inlineStr">
        <is>
          <t>7033203</t>
        </is>
      </c>
      <c r="C77" s="555" t="inlineStr">
        <is>
          <t>ค่าที่พักผู้บริหารและบุคคลทั่วไป</t>
        </is>
      </c>
      <c r="D77" s="547" t="n">
        <v>6202040001</v>
      </c>
      <c r="E77" s="555">
        <f>C77</f>
        <v/>
      </c>
      <c r="F77" s="547" t="n">
        <v>5300</v>
      </c>
      <c r="G77" s="548" t="inlineStr">
        <is>
          <t>หมวดตอบแทน ใช้สอยและวัสดุ</t>
        </is>
      </c>
    </row>
    <row r="78">
      <c r="A78" s="555" t="inlineStr">
        <is>
          <t>FP-GL</t>
        </is>
      </c>
      <c r="B78" s="546" t="inlineStr">
        <is>
          <t>7033204</t>
        </is>
      </c>
      <c r="C78" s="555" t="inlineStr">
        <is>
          <t>ค่าเบี้ยเลี้ยง</t>
        </is>
      </c>
      <c r="D78" s="547" t="n">
        <v>6202040002</v>
      </c>
      <c r="E78" s="555">
        <f>C78</f>
        <v/>
      </c>
      <c r="F78" s="547" t="n">
        <v>5300</v>
      </c>
      <c r="G78" s="548" t="inlineStr">
        <is>
          <t>หมวดตอบแทน ใช้สอยและวัสดุ</t>
        </is>
      </c>
    </row>
    <row r="79">
      <c r="A79" s="555" t="inlineStr">
        <is>
          <t>FP-GL</t>
        </is>
      </c>
      <c r="B79" s="546" t="inlineStr">
        <is>
          <t>7033205</t>
        </is>
      </c>
      <c r="C79" s="555" t="inlineStr">
        <is>
          <t>ค่ายานพาหนะเครื่องบิน</t>
        </is>
      </c>
      <c r="D79" s="547" t="n">
        <v>6202040003</v>
      </c>
      <c r="E79" s="555">
        <f>C79</f>
        <v/>
      </c>
      <c r="F79" s="547" t="n">
        <v>5300</v>
      </c>
      <c r="G79" s="548" t="inlineStr">
        <is>
          <t>หมวดตอบแทน ใช้สอยและวัสดุ</t>
        </is>
      </c>
    </row>
    <row r="80">
      <c r="A80" s="555" t="inlineStr">
        <is>
          <t>FP-GL</t>
        </is>
      </c>
      <c r="B80" s="546" t="inlineStr">
        <is>
          <t>7033206</t>
        </is>
      </c>
      <c r="C80" s="555" t="inlineStr">
        <is>
          <t>ค่ายานพาหนะ-อื่นๆ</t>
        </is>
      </c>
      <c r="D80" s="547" t="n">
        <v>6202040004</v>
      </c>
      <c r="E80" s="555">
        <f>C80</f>
        <v/>
      </c>
      <c r="F80" s="547" t="n">
        <v>5300</v>
      </c>
      <c r="G80" s="548" t="inlineStr">
        <is>
          <t>หมวดตอบแทน ใช้สอยและวัสดุ</t>
        </is>
      </c>
    </row>
    <row r="81">
      <c r="A81" s="555" t="inlineStr">
        <is>
          <t>FP-GL</t>
        </is>
      </c>
      <c r="B81" s="546" t="inlineStr">
        <is>
          <t>7033207</t>
        </is>
      </c>
      <c r="C81" s="555" t="inlineStr">
        <is>
          <t>ค่าเช่าเหมาบริการ-ยานพาหนะ</t>
        </is>
      </c>
      <c r="D81" s="547" t="n">
        <v>6202040005</v>
      </c>
      <c r="E81" s="555">
        <f>C81</f>
        <v/>
      </c>
      <c r="F81" s="547" t="n">
        <v>5300</v>
      </c>
      <c r="G81" s="548" t="inlineStr">
        <is>
          <t>หมวดตอบแทน ใช้สอยและวัสดุ</t>
        </is>
      </c>
    </row>
    <row r="82">
      <c r="A82" s="555" t="inlineStr">
        <is>
          <t>FP-GL</t>
        </is>
      </c>
      <c r="B82" s="546" t="inlineStr">
        <is>
          <t>7033357</t>
        </is>
      </c>
      <c r="C82" s="555" t="inlineStr">
        <is>
          <t>ค่าที่พักอาจารย์พิเศษ</t>
        </is>
      </c>
      <c r="D82" s="547" t="n">
        <v>6202041002</v>
      </c>
      <c r="E82" s="555">
        <f>C82</f>
        <v/>
      </c>
      <c r="F82" s="547" t="n">
        <v>5300</v>
      </c>
      <c r="G82" s="548" t="inlineStr">
        <is>
          <t>หมวดตอบแทน ใช้สอยและวัสดุ</t>
        </is>
      </c>
    </row>
    <row r="83">
      <c r="A83" s="555" t="inlineStr">
        <is>
          <t>FP-GL</t>
        </is>
      </c>
      <c r="B83" s="546" t="inlineStr">
        <is>
          <t>7033358</t>
        </is>
      </c>
      <c r="C83" s="555" t="inlineStr">
        <is>
          <t>ค่าที่พักวิทยากรพิเศษในรายวิชา</t>
        </is>
      </c>
      <c r="D83" s="547" t="n">
        <v>6202041003</v>
      </c>
      <c r="E83" s="555">
        <f>C83</f>
        <v/>
      </c>
      <c r="F83" s="547" t="n">
        <v>5300</v>
      </c>
      <c r="G83" s="548" t="inlineStr">
        <is>
          <t>หมวดตอบแทน ใช้สอยและวัสดุ</t>
        </is>
      </c>
    </row>
    <row r="84">
      <c r="A84" s="555" t="inlineStr">
        <is>
          <t>FP-GL</t>
        </is>
      </c>
      <c r="B84" s="546" t="inlineStr">
        <is>
          <t>7033359</t>
        </is>
      </c>
      <c r="C84" s="555" t="inlineStr">
        <is>
          <t>ค่าที่พักวิทยากร</t>
        </is>
      </c>
      <c r="D84" s="547" t="n">
        <v>6202041004</v>
      </c>
      <c r="E84" s="555">
        <f>C84</f>
        <v/>
      </c>
      <c r="F84" s="547" t="n">
        <v>5300</v>
      </c>
      <c r="G84" s="548" t="inlineStr">
        <is>
          <t>หมวดตอบแทน ใช้สอยและวัสดุ</t>
        </is>
      </c>
    </row>
    <row r="85">
      <c r="A85" s="555" t="inlineStr">
        <is>
          <t>FP-GL</t>
        </is>
      </c>
      <c r="B85" s="546" t="inlineStr">
        <is>
          <t>7033360</t>
        </is>
      </c>
      <c r="C85" s="555" t="inlineStr">
        <is>
          <t>ค่าที่พักนักศึกษา</t>
        </is>
      </c>
      <c r="D85" s="547" t="n">
        <v>6202041005</v>
      </c>
      <c r="E85" s="555">
        <f>C85</f>
        <v/>
      </c>
      <c r="F85" s="547" t="n">
        <v>5300</v>
      </c>
      <c r="G85" s="548" t="inlineStr">
        <is>
          <t>หมวดตอบแทน ใช้สอยและวัสดุ</t>
        </is>
      </c>
    </row>
    <row r="86">
      <c r="A86" s="555" t="inlineStr">
        <is>
          <t>FP-GL</t>
        </is>
      </c>
      <c r="B86" s="546" t="inlineStr">
        <is>
          <t>7033361</t>
        </is>
      </c>
      <c r="C86" s="555" t="inlineStr">
        <is>
          <t>ค่าที่พักพนักงาน</t>
        </is>
      </c>
      <c r="D86" s="547" t="n">
        <v>6202041006</v>
      </c>
      <c r="E86" s="555">
        <f>C86</f>
        <v/>
      </c>
      <c r="F86" s="547" t="n">
        <v>5300</v>
      </c>
      <c r="G86" s="548" t="inlineStr">
        <is>
          <t>หมวดตอบแทน ใช้สอยและวัสดุ</t>
        </is>
      </c>
    </row>
    <row r="87">
      <c r="A87" s="555" t="inlineStr">
        <is>
          <t>FP-GL</t>
        </is>
      </c>
      <c r="B87" s="546" t="inlineStr">
        <is>
          <t>7033362</t>
        </is>
      </c>
      <c r="C87" s="555" t="inlineStr">
        <is>
          <t>ค่าที่พักอาจารย์</t>
        </is>
      </c>
      <c r="D87" s="547" t="n">
        <v>6202041007</v>
      </c>
      <c r="E87" s="555">
        <f>C87</f>
        <v/>
      </c>
      <c r="F87" s="547" t="n">
        <v>5300</v>
      </c>
      <c r="G87" s="548" t="inlineStr">
        <is>
          <t>หมวดตอบแทน ใช้สอยและวัสดุ</t>
        </is>
      </c>
    </row>
    <row r="88">
      <c r="A88" s="555" t="inlineStr">
        <is>
          <t>FP-GL</t>
        </is>
      </c>
      <c r="B88" s="546" t="inlineStr">
        <is>
          <t>7033363</t>
        </is>
      </c>
      <c r="C88" s="555" t="inlineStr">
        <is>
          <t>ค่าที่พักผู้เข้าร่วมโครงการ</t>
        </is>
      </c>
      <c r="D88" s="547" t="n">
        <v>6202041008</v>
      </c>
      <c r="E88" s="555">
        <f>C88</f>
        <v/>
      </c>
      <c r="F88" s="547" t="n">
        <v>5300</v>
      </c>
      <c r="G88" s="548" t="inlineStr">
        <is>
          <t>หมวดตอบแทน ใช้สอยและวัสดุ</t>
        </is>
      </c>
    </row>
    <row r="89">
      <c r="A89" s="555" t="inlineStr">
        <is>
          <t>FP-GL</t>
        </is>
      </c>
      <c r="B89" s="546" t="inlineStr">
        <is>
          <t>7033364</t>
        </is>
      </c>
      <c r="C89" s="555" t="inlineStr">
        <is>
          <t>ค่าที่พักสำหรับกรรมการมหาวิทยาลัย</t>
        </is>
      </c>
      <c r="D89" s="547" t="n">
        <v>6202041009</v>
      </c>
      <c r="E89" s="555">
        <f>C89</f>
        <v/>
      </c>
      <c r="F89" s="547" t="n">
        <v>5300</v>
      </c>
      <c r="G89" s="548" t="inlineStr">
        <is>
          <t>หมวดตอบแทน ใช้สอยและวัสดุ</t>
        </is>
      </c>
    </row>
    <row r="90">
      <c r="A90" s="555" t="inlineStr">
        <is>
          <t>FP-GL</t>
        </is>
      </c>
      <c r="B90" s="546" t="inlineStr">
        <is>
          <t>7033365</t>
        </is>
      </c>
      <c r="C90" s="555" t="inlineStr">
        <is>
          <t>ค่าที่พักอาจารย์อาสาสมัครชาวต่างชาติ</t>
        </is>
      </c>
      <c r="D90" s="547" t="n">
        <v>6202041010</v>
      </c>
      <c r="E90" s="555">
        <f>C90</f>
        <v/>
      </c>
      <c r="F90" s="547" t="n">
        <v>5300</v>
      </c>
      <c r="G90" s="548" t="inlineStr">
        <is>
          <t>หมวดตอบแทน ใช้สอยและวัสดุ</t>
        </is>
      </c>
    </row>
    <row r="91">
      <c r="A91" s="555" t="inlineStr">
        <is>
          <t>FP-GL</t>
        </is>
      </c>
      <c r="B91" s="546" t="inlineStr">
        <is>
          <t>7033366</t>
        </is>
      </c>
      <c r="C91" s="555" t="inlineStr">
        <is>
          <t>ค่าที่พักกรรมการสอบโครงร่าง</t>
        </is>
      </c>
      <c r="D91" s="547" t="n">
        <v>6202041011</v>
      </c>
      <c r="E91" s="555">
        <f>C91</f>
        <v/>
      </c>
      <c r="F91" s="547" t="n">
        <v>5300</v>
      </c>
      <c r="G91" s="548" t="inlineStr">
        <is>
          <t>หมวดตอบแทน ใช้สอยและวัสดุ</t>
        </is>
      </c>
    </row>
    <row r="92">
      <c r="A92" s="555" t="inlineStr">
        <is>
          <t>FP-GL</t>
        </is>
      </c>
      <c r="B92" s="546" t="inlineStr">
        <is>
          <t>7033367</t>
        </is>
      </c>
      <c r="C92" s="555" t="inlineStr">
        <is>
          <t>ค่าที่พักกรรมการสอบป้องกัน</t>
        </is>
      </c>
      <c r="D92" s="547" t="n">
        <v>6202041012</v>
      </c>
      <c r="E92" s="555">
        <f>C92</f>
        <v/>
      </c>
      <c r="F92" s="547" t="n">
        <v>5300</v>
      </c>
      <c r="G92" s="548" t="inlineStr">
        <is>
          <t>หมวดตอบแทน ใช้สอยและวัสดุ</t>
        </is>
      </c>
    </row>
    <row r="93">
      <c r="A93" s="555" t="inlineStr">
        <is>
          <t>FP-GL</t>
        </is>
      </c>
      <c r="B93" s="546" t="inlineStr">
        <is>
          <t>7033368</t>
        </is>
      </c>
      <c r="C93" s="555" t="inlineStr">
        <is>
          <t>ค่าเบี้ยเลี้ยงพนักงาน</t>
        </is>
      </c>
      <c r="D93" s="547" t="n">
        <v>6202042002</v>
      </c>
      <c r="E93" s="555">
        <f>C93</f>
        <v/>
      </c>
      <c r="F93" s="547" t="n">
        <v>5300</v>
      </c>
      <c r="G93" s="548" t="inlineStr">
        <is>
          <t>หมวดตอบแทน ใช้สอยและวัสดุ</t>
        </is>
      </c>
    </row>
    <row r="94">
      <c r="A94" s="555" t="inlineStr">
        <is>
          <t>FP-GL</t>
        </is>
      </c>
      <c r="B94" s="546" t="inlineStr">
        <is>
          <t>7033369</t>
        </is>
      </c>
      <c r="C94" s="555" t="inlineStr">
        <is>
          <t>ค่าเบี้ยเลี้ยงอาจารย์</t>
        </is>
      </c>
      <c r="D94" s="547" t="n">
        <v>6202042003</v>
      </c>
      <c r="E94" s="555">
        <f>C94</f>
        <v/>
      </c>
      <c r="F94" s="547" t="n">
        <v>5300</v>
      </c>
      <c r="G94" s="548" t="inlineStr">
        <is>
          <t>หมวดตอบแทน ใช้สอยและวัสดุ</t>
        </is>
      </c>
    </row>
    <row r="95">
      <c r="A95" s="555" t="inlineStr">
        <is>
          <t>FP-GL</t>
        </is>
      </c>
      <c r="B95" s="546" t="inlineStr">
        <is>
          <t>7033370</t>
        </is>
      </c>
      <c r="C95" s="555" t="inlineStr">
        <is>
          <t>ค่าเบี้ยเลี้ยงผู้บริหาร</t>
        </is>
      </c>
      <c r="D95" s="547" t="n">
        <v>6202042004</v>
      </c>
      <c r="E95" s="555">
        <f>C95</f>
        <v/>
      </c>
      <c r="F95" s="547" t="n">
        <v>5300</v>
      </c>
      <c r="G95" s="548" t="inlineStr">
        <is>
          <t>หมวดตอบแทน ใช้สอยและวัสดุ</t>
        </is>
      </c>
    </row>
    <row r="96">
      <c r="A96" s="555" t="inlineStr">
        <is>
          <t>FP-GL</t>
        </is>
      </c>
      <c r="B96" s="546" t="inlineStr">
        <is>
          <t>7033371</t>
        </is>
      </c>
      <c r="C96" s="555" t="inlineStr">
        <is>
          <t>ค่ายานพาหนะเครื่องบินอาจารย์พิเศษ</t>
        </is>
      </c>
      <c r="D96" s="547" t="n">
        <v>6202043002</v>
      </c>
      <c r="E96" s="555">
        <f>C96</f>
        <v/>
      </c>
      <c r="F96" s="547" t="n">
        <v>5300</v>
      </c>
      <c r="G96" s="548" t="inlineStr">
        <is>
          <t>หมวดตอบแทน ใช้สอยและวัสดุ</t>
        </is>
      </c>
    </row>
    <row r="97">
      <c r="A97" s="555" t="inlineStr">
        <is>
          <t>FP-GL</t>
        </is>
      </c>
      <c r="B97" s="546" t="inlineStr">
        <is>
          <t>7033372</t>
        </is>
      </c>
      <c r="C97" s="555" t="inlineStr">
        <is>
          <t>ค่ายานพาหนะเครื่องบินวิทยากรพิเศษในรายวิชา</t>
        </is>
      </c>
      <c r="D97" s="547" t="n">
        <v>6202043003</v>
      </c>
      <c r="E97" s="555">
        <f>C97</f>
        <v/>
      </c>
      <c r="F97" s="547" t="n">
        <v>5300</v>
      </c>
      <c r="G97" s="548" t="inlineStr">
        <is>
          <t>หมวดตอบแทน ใช้สอยและวัสดุ</t>
        </is>
      </c>
    </row>
    <row r="98">
      <c r="A98" s="555" t="inlineStr">
        <is>
          <t>FP-GL</t>
        </is>
      </c>
      <c r="B98" s="546" t="inlineStr">
        <is>
          <t>7033373</t>
        </is>
      </c>
      <c r="C98" s="555" t="inlineStr">
        <is>
          <t>ค่ายานพาหนะเครื่องบินวิทยากร</t>
        </is>
      </c>
      <c r="D98" s="547" t="n">
        <v>6202043004</v>
      </c>
      <c r="E98" s="555">
        <f>C98</f>
        <v/>
      </c>
      <c r="F98" s="547" t="n">
        <v>5300</v>
      </c>
      <c r="G98" s="548" t="inlineStr">
        <is>
          <t>หมวดตอบแทน ใช้สอยและวัสดุ</t>
        </is>
      </c>
    </row>
    <row r="99">
      <c r="A99" s="555" t="inlineStr">
        <is>
          <t>FP-GL</t>
        </is>
      </c>
      <c r="B99" s="546" t="inlineStr">
        <is>
          <t>7033374</t>
        </is>
      </c>
      <c r="C99" s="555" t="inlineStr">
        <is>
          <t>ค่ายานพาหนะเครื่องบินผู้บริหาร</t>
        </is>
      </c>
      <c r="D99" s="547" t="n">
        <v>6202043005</v>
      </c>
      <c r="E99" s="555">
        <f>C99</f>
        <v/>
      </c>
      <c r="F99" s="547" t="n">
        <v>5300</v>
      </c>
      <c r="G99" s="548" t="inlineStr">
        <is>
          <t>หมวดตอบแทน ใช้สอยและวัสดุ</t>
        </is>
      </c>
    </row>
    <row r="100">
      <c r="A100" s="555" t="inlineStr">
        <is>
          <t>FP-GL</t>
        </is>
      </c>
      <c r="B100" s="546" t="inlineStr">
        <is>
          <t>7033375</t>
        </is>
      </c>
      <c r="C100" s="555" t="inlineStr">
        <is>
          <t>ค่ายานพาหนะเครื่องบินหัวหน้าฝ่าย</t>
        </is>
      </c>
      <c r="D100" s="547" t="n">
        <v>6202043006</v>
      </c>
      <c r="E100" s="555">
        <f>C100</f>
        <v/>
      </c>
      <c r="F100" s="547" t="n">
        <v>5300</v>
      </c>
      <c r="G100" s="548" t="inlineStr">
        <is>
          <t>หมวดตอบแทน ใช้สอยและวัสดุ</t>
        </is>
      </c>
    </row>
    <row r="101">
      <c r="A101" s="555" t="inlineStr">
        <is>
          <t>FP-GL</t>
        </is>
      </c>
      <c r="B101" s="546" t="inlineStr">
        <is>
          <t>7033376</t>
        </is>
      </c>
      <c r="C101" s="555" t="inlineStr">
        <is>
          <t>ค่ายานพาหนะเครื่องบินอาจารย์</t>
        </is>
      </c>
      <c r="D101" s="547" t="n">
        <v>6202043007</v>
      </c>
      <c r="E101" s="555">
        <f>C101</f>
        <v/>
      </c>
      <c r="F101" s="547" t="n">
        <v>5300</v>
      </c>
      <c r="G101" s="548" t="inlineStr">
        <is>
          <t>หมวดตอบแทน ใช้สอยและวัสดุ</t>
        </is>
      </c>
    </row>
    <row r="102">
      <c r="A102" s="555" t="inlineStr">
        <is>
          <t>FP-GL</t>
        </is>
      </c>
      <c r="B102" s="546" t="inlineStr">
        <is>
          <t>7033377</t>
        </is>
      </c>
      <c r="C102" s="555" t="inlineStr">
        <is>
          <t>ค่ายานพาหนะเครื่องบินสำหรับกรรมการมหาวิทยาลัย</t>
        </is>
      </c>
      <c r="D102" s="547" t="n">
        <v>6202043008</v>
      </c>
      <c r="E102" s="555">
        <f>C102</f>
        <v/>
      </c>
      <c r="F102" s="547" t="n">
        <v>5300</v>
      </c>
      <c r="G102" s="548" t="inlineStr">
        <is>
          <t>หมวดตอบแทน ใช้สอยและวัสดุ</t>
        </is>
      </c>
    </row>
    <row r="103">
      <c r="A103" s="555" t="inlineStr">
        <is>
          <t>FP-GL</t>
        </is>
      </c>
      <c r="B103" s="546" t="inlineStr">
        <is>
          <t>7033378</t>
        </is>
      </c>
      <c r="C103" s="555" t="inlineStr">
        <is>
          <t>ค่ายานพาหนะเครื่องบินอาจารย์อาสาสมัครชาวต่างชาติ</t>
        </is>
      </c>
      <c r="D103" s="547" t="n">
        <v>6202043009</v>
      </c>
      <c r="E103" s="555">
        <f>C103</f>
        <v/>
      </c>
      <c r="F103" s="547" t="n">
        <v>5300</v>
      </c>
      <c r="G103" s="548" t="inlineStr">
        <is>
          <t>หมวดตอบแทน ใช้สอยและวัสดุ</t>
        </is>
      </c>
    </row>
    <row r="104">
      <c r="A104" s="555" t="inlineStr">
        <is>
          <t>FP-GL</t>
        </is>
      </c>
      <c r="B104" s="546" t="inlineStr">
        <is>
          <t>7033379</t>
        </is>
      </c>
      <c r="C104" s="555" t="inlineStr">
        <is>
          <t>ค่ายานพาหนะเครื่องบินกรรมการสอบโครงร่าง</t>
        </is>
      </c>
      <c r="D104" s="547" t="n">
        <v>6202043010</v>
      </c>
      <c r="E104" s="555">
        <f>C104</f>
        <v/>
      </c>
      <c r="F104" s="547" t="n">
        <v>5300</v>
      </c>
      <c r="G104" s="548" t="inlineStr">
        <is>
          <t>หมวดตอบแทน ใช้สอยและวัสดุ</t>
        </is>
      </c>
    </row>
    <row r="105">
      <c r="A105" s="555" t="inlineStr">
        <is>
          <t>FP-GL</t>
        </is>
      </c>
      <c r="B105" s="546" t="inlineStr">
        <is>
          <t>7033380</t>
        </is>
      </c>
      <c r="C105" s="555" t="inlineStr">
        <is>
          <t>ค่ายานพาหนะเครื่องบินกรรมการสอบป้องกัน</t>
        </is>
      </c>
      <c r="D105" s="547" t="n">
        <v>6202043011</v>
      </c>
      <c r="E105" s="555">
        <f>C105</f>
        <v/>
      </c>
      <c r="F105" s="547" t="n">
        <v>5300</v>
      </c>
      <c r="G105" s="548" t="inlineStr">
        <is>
          <t>หมวดตอบแทน ใช้สอยและวัสดุ</t>
        </is>
      </c>
    </row>
    <row r="106">
      <c r="A106" s="555" t="inlineStr">
        <is>
          <t>FP-GL</t>
        </is>
      </c>
      <c r="B106" s="546" t="inlineStr">
        <is>
          <t>7033381</t>
        </is>
      </c>
      <c r="C106" s="555" t="inlineStr">
        <is>
          <t>ค่าพาหนะในการเดินทางไปปฏิบัติงาน (รถยนต์ส่วนตัว)</t>
        </is>
      </c>
      <c r="D106" s="547" t="n">
        <v>6202044002</v>
      </c>
      <c r="E106" s="555">
        <f>C106</f>
        <v/>
      </c>
      <c r="F106" s="547" t="n">
        <v>5300</v>
      </c>
      <c r="G106" s="548" t="inlineStr">
        <is>
          <t>หมวดตอบแทน ใช้สอยและวัสดุ</t>
        </is>
      </c>
    </row>
    <row r="107">
      <c r="A107" s="555" t="inlineStr">
        <is>
          <t>FP-GL</t>
        </is>
      </c>
      <c r="B107" s="546" t="inlineStr">
        <is>
          <t>7033382</t>
        </is>
      </c>
      <c r="C107" s="555" t="inlineStr">
        <is>
          <t>ค่าพาหนะในการเดินทางไปปฏิบัติงาน</t>
        </is>
      </c>
      <c r="D107" s="547" t="n">
        <v>6202044003</v>
      </c>
      <c r="E107" s="555">
        <f>C107</f>
        <v/>
      </c>
      <c r="F107" s="547" t="n">
        <v>5300</v>
      </c>
      <c r="G107" s="548" t="inlineStr">
        <is>
          <t>หมวดตอบแทน ใช้สอยและวัสดุ</t>
        </is>
      </c>
    </row>
    <row r="108">
      <c r="A108" s="555" t="inlineStr">
        <is>
          <t>FP-GL</t>
        </is>
      </c>
      <c r="B108" s="546" t="inlineStr">
        <is>
          <t>7033383</t>
        </is>
      </c>
      <c r="C108" s="555" t="inlineStr">
        <is>
          <t>ค่ารถโดยสารประจำทาง นักศึกษา</t>
        </is>
      </c>
      <c r="D108" s="547" t="n">
        <v>6202044004</v>
      </c>
      <c r="E108" s="555">
        <f>C108</f>
        <v/>
      </c>
      <c r="F108" s="547" t="n">
        <v>5300</v>
      </c>
      <c r="G108" s="548" t="inlineStr">
        <is>
          <t>หมวดตอบแทน ใช้สอยและวัสดุ</t>
        </is>
      </c>
    </row>
    <row r="109">
      <c r="A109" s="555" t="inlineStr">
        <is>
          <t>FP-GL</t>
        </is>
      </c>
      <c r="B109" s="546" t="inlineStr">
        <is>
          <t>7033384</t>
        </is>
      </c>
      <c r="C109" s="555" t="inlineStr">
        <is>
          <t>ค่ารถโดยสารประจำทาง พนักงาน</t>
        </is>
      </c>
      <c r="D109" s="547" t="n">
        <v>6202044005</v>
      </c>
      <c r="E109" s="555">
        <f>C109</f>
        <v/>
      </c>
      <c r="F109" s="547" t="n">
        <v>5300</v>
      </c>
      <c r="G109" s="548" t="inlineStr">
        <is>
          <t>หมวดตอบแทน ใช้สอยและวัสดุ</t>
        </is>
      </c>
    </row>
    <row r="110">
      <c r="A110" s="555" t="inlineStr">
        <is>
          <t>FP-GL</t>
        </is>
      </c>
      <c r="B110" s="546" t="inlineStr">
        <is>
          <t>7033385</t>
        </is>
      </c>
      <c r="C110" s="555" t="inlineStr">
        <is>
          <t>ค่าเช่าเหมายานพาหนะ พร้อมน้ำมันเชื้อเพลิง</t>
        </is>
      </c>
      <c r="D110" s="547" t="n">
        <v>6202044006</v>
      </c>
      <c r="E110" s="555">
        <f>C110</f>
        <v/>
      </c>
      <c r="F110" s="547" t="n">
        <v>5300</v>
      </c>
      <c r="G110" s="548" t="inlineStr">
        <is>
          <t>หมวดตอบแทน ใช้สอยและวัสดุ</t>
        </is>
      </c>
    </row>
    <row r="111">
      <c r="A111" s="555" t="inlineStr">
        <is>
          <t>FP-GL</t>
        </is>
      </c>
      <c r="B111" s="546" t="inlineStr">
        <is>
          <t>7033009</t>
        </is>
      </c>
      <c r="C111" s="555" t="inlineStr">
        <is>
          <t>ค่าใช้จ่ายในไปการฝึกอบรม/สัมมนา/ดูงาน-พนักงาน</t>
        </is>
      </c>
      <c r="D111" s="547" t="n">
        <v>6202051001</v>
      </c>
      <c r="E111" s="555">
        <f>C111</f>
        <v/>
      </c>
      <c r="F111" s="547" t="n">
        <v>5300</v>
      </c>
      <c r="G111" s="548" t="inlineStr">
        <is>
          <t>หมวดตอบแทน ใช้สอยและวัสดุ</t>
        </is>
      </c>
    </row>
    <row r="112">
      <c r="A112" s="555" t="inlineStr">
        <is>
          <t>FP-GL</t>
        </is>
      </c>
      <c r="B112" s="546" t="inlineStr">
        <is>
          <t>7033239</t>
        </is>
      </c>
      <c r="C112" s="555" t="inlineStr">
        <is>
          <t>ค่าลงทะเบียนการประชุม สัมมนา อบรม ดูงาน พนักงาน</t>
        </is>
      </c>
      <c r="D112" s="547" t="n">
        <v>6202051002</v>
      </c>
      <c r="E112" s="555">
        <f>C112</f>
        <v/>
      </c>
      <c r="F112" s="547" t="n">
        <v>5300</v>
      </c>
      <c r="G112" s="548" t="inlineStr">
        <is>
          <t>หมวดตอบแทน ใช้สอยและวัสดุ</t>
        </is>
      </c>
    </row>
    <row r="113">
      <c r="A113" s="555" t="inlineStr">
        <is>
          <t>FP-GL</t>
        </is>
      </c>
      <c r="B113" s="546" t="inlineStr">
        <is>
          <t>7033010</t>
        </is>
      </c>
      <c r="C113" s="555" t="inlineStr">
        <is>
          <t>ค่าใช้จ่ายในการฝึกอบรม/สัมมนา/ดูงาน-นักศึกษา</t>
        </is>
      </c>
      <c r="D113" s="547" t="n">
        <v>6202052001</v>
      </c>
      <c r="E113" s="555">
        <f>C113</f>
        <v/>
      </c>
      <c r="F113" s="547" t="n">
        <v>5300</v>
      </c>
      <c r="G113" s="548" t="inlineStr">
        <is>
          <t>หมวดตอบแทน ใช้สอยและวัสดุ</t>
        </is>
      </c>
    </row>
    <row r="114">
      <c r="A114" s="555" t="inlineStr">
        <is>
          <t>FP-GL</t>
        </is>
      </c>
      <c r="B114" s="546" t="inlineStr">
        <is>
          <t>7033011</t>
        </is>
      </c>
      <c r="C114" s="555" t="inlineStr">
        <is>
          <t>ค่าใช้จ่ายในการทำวิทยานิพนธ์-นักศึกษา</t>
        </is>
      </c>
      <c r="D114" s="547" t="n">
        <v>6202052002</v>
      </c>
      <c r="E114" s="555">
        <f>C114</f>
        <v/>
      </c>
      <c r="F114" s="547" t="n">
        <v>5300</v>
      </c>
      <c r="G114" s="548" t="inlineStr">
        <is>
          <t>หมวดตอบแทน ใช้สอยและวัสดุ</t>
        </is>
      </c>
    </row>
    <row r="115">
      <c r="A115" s="555" t="inlineStr">
        <is>
          <t>FP-GL</t>
        </is>
      </c>
      <c r="B115" s="546" t="inlineStr">
        <is>
          <t>7033012</t>
        </is>
      </c>
      <c r="C115" s="555" t="inlineStr">
        <is>
          <t>ค่าใช้จ่ายโครงการแลกเปลี่ยน-นักศึกษา</t>
        </is>
      </c>
      <c r="D115" s="547" t="n">
        <v>6202052003</v>
      </c>
      <c r="E115" s="555">
        <f>C115</f>
        <v/>
      </c>
      <c r="F115" s="547" t="n">
        <v>5300</v>
      </c>
      <c r="G115" s="548" t="inlineStr">
        <is>
          <t>หมวดตอบแทน ใช้สอยและวัสดุ</t>
        </is>
      </c>
    </row>
    <row r="116">
      <c r="A116" s="555" t="inlineStr">
        <is>
          <t>FP-GL</t>
        </is>
      </c>
      <c r="B116" s="546" t="inlineStr">
        <is>
          <t>7033240</t>
        </is>
      </c>
      <c r="C116" s="555" t="inlineStr">
        <is>
          <t>ค่าลงทะเบียนการประชุม สัมมนา อบรม ดูงาน นักศึกษา</t>
        </is>
      </c>
      <c r="D116" s="547" t="n">
        <v>6202052005</v>
      </c>
      <c r="E116" s="555">
        <f>C116</f>
        <v/>
      </c>
      <c r="F116" s="547" t="n">
        <v>5300</v>
      </c>
      <c r="G116" s="548" t="inlineStr">
        <is>
          <t>หมวดตอบแทน ใช้สอยและวัสดุ</t>
        </is>
      </c>
    </row>
    <row r="117">
      <c r="A117" s="555" t="inlineStr">
        <is>
          <t>FP-GL</t>
        </is>
      </c>
      <c r="B117" s="546" t="inlineStr">
        <is>
          <t>7033337</t>
        </is>
      </c>
      <c r="C117" s="555" t="inlineStr">
        <is>
          <t>ค่าสนับสนุนการเผยแพร่ผลงานของนักศึกษาระดับ</t>
        </is>
      </c>
      <c r="D117" s="547" t="n">
        <v>6202052006</v>
      </c>
      <c r="E117" s="555">
        <f>C117</f>
        <v/>
      </c>
      <c r="F117" s="547" t="n">
        <v>5300</v>
      </c>
      <c r="G117" s="548" t="inlineStr">
        <is>
          <t>หมวดตอบแทน ใช้สอยและวัสดุ</t>
        </is>
      </c>
    </row>
    <row r="118">
      <c r="A118" s="555" t="inlineStr">
        <is>
          <t>FP-GL</t>
        </is>
      </c>
      <c r="B118" s="546" t="inlineStr">
        <is>
          <t>7033338</t>
        </is>
      </c>
      <c r="C118" s="555" t="inlineStr">
        <is>
          <t>ค่าใช้จ่ายในการส่งนักศึกษาเข้าร่วมประชุมวิชาการ</t>
        </is>
      </c>
      <c r="D118" s="547" t="n">
        <v>6202052007</v>
      </c>
      <c r="E118" s="555">
        <f>C118</f>
        <v/>
      </c>
      <c r="F118" s="547" t="n">
        <v>5300</v>
      </c>
      <c r="G118" s="548" t="inlineStr">
        <is>
          <t>หมวดตอบแทน ใช้สอยและวัสดุ</t>
        </is>
      </c>
    </row>
    <row r="119">
      <c r="A119" s="555" t="inlineStr">
        <is>
          <t>FP-GL</t>
        </is>
      </c>
      <c r="B119" s="546" t="inlineStr">
        <is>
          <t>7033601</t>
        </is>
      </c>
      <c r="C119" s="555" t="inlineStr">
        <is>
          <t>ค่าซ่อมแซมและบำรุงรักษาอาคาร</t>
        </is>
      </c>
      <c r="D119" s="547" t="n">
        <v>6202061001</v>
      </c>
      <c r="E119" s="555">
        <f>C119</f>
        <v/>
      </c>
      <c r="F119" s="547" t="n">
        <v>5300</v>
      </c>
      <c r="G119" s="548" t="inlineStr">
        <is>
          <t>หมวดตอบแทน ใช้สอยและวัสดุ</t>
        </is>
      </c>
    </row>
    <row r="120">
      <c r="A120" s="555" t="inlineStr">
        <is>
          <t>FP-GL</t>
        </is>
      </c>
      <c r="B120" s="546" t="inlineStr">
        <is>
          <t>7033602</t>
        </is>
      </c>
      <c r="C120" s="555" t="inlineStr">
        <is>
          <t>ค่าซ่อมแซมและบำรุงรักษาสิ่งก่อสร้าง</t>
        </is>
      </c>
      <c r="D120" s="547" t="n">
        <v>6202061002</v>
      </c>
      <c r="E120" s="555">
        <f>C120</f>
        <v/>
      </c>
      <c r="F120" s="547" t="n">
        <v>5300</v>
      </c>
      <c r="G120" s="548" t="inlineStr">
        <is>
          <t>หมวดตอบแทน ใช้สอยและวัสดุ</t>
        </is>
      </c>
    </row>
    <row r="121">
      <c r="A121" s="555" t="inlineStr">
        <is>
          <t>FP-GL</t>
        </is>
      </c>
      <c r="B121" s="546" t="inlineStr">
        <is>
          <t>7033603</t>
        </is>
      </c>
      <c r="C121" s="555" t="inlineStr">
        <is>
          <t>ค่าซ่อมแซมและบำรุงรักษาครุภัณฑ์สำนักงาน</t>
        </is>
      </c>
      <c r="D121" s="547" t="n">
        <v>6202062001</v>
      </c>
      <c r="E121" s="555">
        <f>C121</f>
        <v/>
      </c>
      <c r="F121" s="547" t="n">
        <v>5300</v>
      </c>
      <c r="G121" s="548" t="inlineStr">
        <is>
          <t>หมวดตอบแทน ใช้สอยและวัสดุ</t>
        </is>
      </c>
    </row>
    <row r="122">
      <c r="A122" s="555" t="inlineStr">
        <is>
          <t>FP-GL</t>
        </is>
      </c>
      <c r="B122" s="546" t="inlineStr">
        <is>
          <t>7033604</t>
        </is>
      </c>
      <c r="C122" s="555" t="inlineStr">
        <is>
          <t>ค่าซ่อมแซมและบำรุงรักษาครุภัณฑ์การศึกษา</t>
        </is>
      </c>
      <c r="D122" s="547" t="n">
        <v>6202062002</v>
      </c>
      <c r="E122" s="555">
        <f>C122</f>
        <v/>
      </c>
      <c r="F122" s="547" t="n">
        <v>5300</v>
      </c>
      <c r="G122" s="548" t="inlineStr">
        <is>
          <t>หมวดตอบแทน ใช้สอยและวัสดุ</t>
        </is>
      </c>
    </row>
    <row r="123">
      <c r="A123" s="555" t="inlineStr">
        <is>
          <t>FP-GL</t>
        </is>
      </c>
      <c r="B123" s="546" t="inlineStr">
        <is>
          <t>7033605</t>
        </is>
      </c>
      <c r="C123" s="555" t="inlineStr">
        <is>
          <t>ค่าซ่อมแซมและบำรุงรักษาครุภัณฑ์ก่อสร้าง</t>
        </is>
      </c>
      <c r="D123" s="547" t="n">
        <v>6202062003</v>
      </c>
      <c r="E123" s="555">
        <f>C123</f>
        <v/>
      </c>
      <c r="F123" s="547" t="n">
        <v>5300</v>
      </c>
      <c r="G123" s="548" t="inlineStr">
        <is>
          <t>หมวดตอบแทน ใช้สอยและวัสดุ</t>
        </is>
      </c>
    </row>
    <row r="124">
      <c r="A124" s="555" t="inlineStr">
        <is>
          <t>FP-GL</t>
        </is>
      </c>
      <c r="B124" s="546" t="inlineStr">
        <is>
          <t>7033606</t>
        </is>
      </c>
      <c r="C124" s="555" t="inlineStr">
        <is>
          <t>ค่าซ่อมแซมและบำรุงรักษาครุภัณฑ์การเกษตร</t>
        </is>
      </c>
      <c r="D124" s="547" t="n">
        <v>6202062004</v>
      </c>
      <c r="E124" s="555">
        <f>C124</f>
        <v/>
      </c>
      <c r="F124" s="547" t="n">
        <v>5300</v>
      </c>
      <c r="G124" s="548" t="inlineStr">
        <is>
          <t>หมวดตอบแทน ใช้สอยและวัสดุ</t>
        </is>
      </c>
    </row>
    <row r="125">
      <c r="A125" s="555" t="inlineStr">
        <is>
          <t>FP-GL</t>
        </is>
      </c>
      <c r="B125" s="546" t="inlineStr">
        <is>
          <t>7033607</t>
        </is>
      </c>
      <c r="C125" s="555" t="inlineStr">
        <is>
          <t>ค่าซ่อมแซมและบำรุงรักษาครุภัณฑ์โรงงาน</t>
        </is>
      </c>
      <c r="D125" s="547" t="n">
        <v>6202062005</v>
      </c>
      <c r="E125" s="555">
        <f>C125</f>
        <v/>
      </c>
      <c r="F125" s="547" t="n">
        <v>5300</v>
      </c>
      <c r="G125" s="548" t="inlineStr">
        <is>
          <t>หมวดตอบแทน ใช้สอยและวัสดุ</t>
        </is>
      </c>
    </row>
    <row r="126">
      <c r="A126" s="555" t="inlineStr">
        <is>
          <t>FP-GL</t>
        </is>
      </c>
      <c r="B126" s="546" t="inlineStr">
        <is>
          <t>7033608</t>
        </is>
      </c>
      <c r="C126" s="555" t="inlineStr">
        <is>
          <t>ค่าซ่อมแซมและบำรุงรักษาครุภัณฑ์ไฟฟ้าและวิทยุ</t>
        </is>
      </c>
      <c r="D126" s="547" t="n">
        <v>6202062006</v>
      </c>
      <c r="E126" s="555">
        <f>C126</f>
        <v/>
      </c>
      <c r="F126" s="547" t="n">
        <v>5300</v>
      </c>
      <c r="G126" s="548" t="inlineStr">
        <is>
          <t>หมวดตอบแทน ใช้สอยและวัสดุ</t>
        </is>
      </c>
    </row>
    <row r="127">
      <c r="A127" s="555" t="inlineStr">
        <is>
          <t>FP-GL</t>
        </is>
      </c>
      <c r="B127" s="546" t="inlineStr">
        <is>
          <t>7033609</t>
        </is>
      </c>
      <c r="C127" s="555" t="inlineStr">
        <is>
          <t>ค่าซ่อมแซมและบำรุงรักษาครุภัณฑ์คอมพิวเตอร์</t>
        </is>
      </c>
      <c r="D127" s="547" t="n">
        <v>6202062007</v>
      </c>
      <c r="E127" s="555">
        <f>C127</f>
        <v/>
      </c>
      <c r="F127" s="547" t="n">
        <v>5300</v>
      </c>
      <c r="G127" s="548" t="inlineStr">
        <is>
          <t>หมวดตอบแทน ใช้สอยและวัสดุ</t>
        </is>
      </c>
    </row>
    <row r="128">
      <c r="A128" s="555" t="inlineStr">
        <is>
          <t>FP-GL</t>
        </is>
      </c>
      <c r="B128" s="546" t="inlineStr">
        <is>
          <t>7033610</t>
        </is>
      </c>
      <c r="C128" s="555" t="inlineStr">
        <is>
          <t>ค่าซ่อมแซมและบำรุงรักษาครุภัณฑ์โฆษณาและเผยแพร่</t>
        </is>
      </c>
      <c r="D128" s="547" t="n">
        <v>6202062008</v>
      </c>
      <c r="E128" s="555">
        <f>C128</f>
        <v/>
      </c>
      <c r="F128" s="547" t="n">
        <v>5300</v>
      </c>
      <c r="G128" s="548" t="inlineStr">
        <is>
          <t>หมวดตอบแทน ใช้สอยและวัสดุ</t>
        </is>
      </c>
    </row>
    <row r="129">
      <c r="A129" s="555" t="inlineStr">
        <is>
          <t>FP-GL</t>
        </is>
      </c>
      <c r="B129" s="546" t="inlineStr">
        <is>
          <t>7033611</t>
        </is>
      </c>
      <c r="C129" s="555" t="inlineStr">
        <is>
          <t>ค่าซ่อมแซมและบำรุงรักษาครุภัณฑ์วิทยาศาสตร์</t>
        </is>
      </c>
      <c r="D129" s="547" t="n">
        <v>6202062009</v>
      </c>
      <c r="E129" s="555">
        <f>C129</f>
        <v/>
      </c>
      <c r="F129" s="547" t="n">
        <v>5300</v>
      </c>
      <c r="G129" s="548" t="inlineStr">
        <is>
          <t>หมวดตอบแทน ใช้สอยและวัสดุ</t>
        </is>
      </c>
    </row>
    <row r="130">
      <c r="A130" s="555" t="inlineStr">
        <is>
          <t>FP-GL</t>
        </is>
      </c>
      <c r="B130" s="546" t="inlineStr">
        <is>
          <t>7033612</t>
        </is>
      </c>
      <c r="C130" s="555" t="inlineStr">
        <is>
          <t>ค่าซ่อมแซมและบำรุงรักษาครุภัณฑ์งานบ้านงานครัว</t>
        </is>
      </c>
      <c r="D130" s="547" t="n">
        <v>6202062010</v>
      </c>
      <c r="E130" s="555">
        <f>C130</f>
        <v/>
      </c>
      <c r="F130" s="547" t="n">
        <v>5300</v>
      </c>
      <c r="G130" s="548" t="inlineStr">
        <is>
          <t>หมวดตอบแทน ใช้สอยและวัสดุ</t>
        </is>
      </c>
    </row>
    <row r="131">
      <c r="A131" s="555" t="inlineStr">
        <is>
          <t>FP-GL</t>
        </is>
      </c>
      <c r="B131" s="546" t="inlineStr">
        <is>
          <t>7033613</t>
        </is>
      </c>
      <c r="C131" s="555" t="inlineStr">
        <is>
          <t>ค่าซ่อมแซมและบำรุงรักษาครุภัณฑ์กีฬา</t>
        </is>
      </c>
      <c r="D131" s="547" t="n">
        <v>6202062011</v>
      </c>
      <c r="E131" s="555">
        <f>C131</f>
        <v/>
      </c>
      <c r="F131" s="547" t="n">
        <v>5300</v>
      </c>
      <c r="G131" s="548" t="inlineStr">
        <is>
          <t>หมวดตอบแทน ใช้สอยและวัสดุ</t>
        </is>
      </c>
    </row>
    <row r="132">
      <c r="A132" s="555" t="inlineStr">
        <is>
          <t>FP-GL</t>
        </is>
      </c>
      <c r="B132" s="546" t="inlineStr">
        <is>
          <t>7033614</t>
        </is>
      </c>
      <c r="C132" s="555" t="inlineStr">
        <is>
          <t>ค่าซ่อมแซมและบำรุงรักษาครุภัณฑ์ดนตรีและนาฎศิลป์</t>
        </is>
      </c>
      <c r="D132" s="547" t="n">
        <v>6202062012</v>
      </c>
      <c r="E132" s="555">
        <f>C132</f>
        <v/>
      </c>
      <c r="F132" s="547" t="n">
        <v>5300</v>
      </c>
      <c r="G132" s="548" t="inlineStr">
        <is>
          <t>หมวดตอบแทน ใช้สอยและวัสดุ</t>
        </is>
      </c>
    </row>
    <row r="133">
      <c r="A133" s="555" t="inlineStr">
        <is>
          <t>FP-GL</t>
        </is>
      </c>
      <c r="B133" s="546" t="inlineStr">
        <is>
          <t>7033615</t>
        </is>
      </c>
      <c r="C133" s="555" t="inlineStr">
        <is>
          <t>ค่าซ่อมแซมและบำรุงรักษาครุภัณฑ์ยานพาหนะและขนส่ง</t>
        </is>
      </c>
      <c r="D133" s="547" t="n">
        <v>6202062013</v>
      </c>
      <c r="E133" s="555">
        <f>C133</f>
        <v/>
      </c>
      <c r="F133" s="547" t="n">
        <v>5300</v>
      </c>
      <c r="G133" s="548" t="inlineStr">
        <is>
          <t>หมวดตอบแทน ใช้สอยและวัสดุ</t>
        </is>
      </c>
    </row>
    <row r="134">
      <c r="A134" s="555" t="inlineStr">
        <is>
          <t>FP-GL</t>
        </is>
      </c>
      <c r="B134" s="546" t="inlineStr">
        <is>
          <t>7033386</t>
        </is>
      </c>
      <c r="C134" s="555" t="inlineStr">
        <is>
          <t>ค่าซ่อมแซมและบำรุงรักษาครุภัณฑ์วิทยาศาสตร์การแพทย์</t>
        </is>
      </c>
      <c r="D134" s="547" t="n">
        <v>6202062019</v>
      </c>
      <c r="E134" s="555">
        <f>C134</f>
        <v/>
      </c>
      <c r="F134" s="547" t="n">
        <v>5300</v>
      </c>
      <c r="G134" s="548" t="inlineStr">
        <is>
          <t>หมวดตอบแทน ใช้สอยและวัสดุ</t>
        </is>
      </c>
    </row>
    <row r="135">
      <c r="A135" s="555" t="inlineStr">
        <is>
          <t>FP-GL</t>
        </is>
      </c>
      <c r="B135" s="546" t="inlineStr">
        <is>
          <t>7033621</t>
        </is>
      </c>
      <c r="C135" s="555" t="inlineStr">
        <is>
          <t>ค่าซ่อมแซมและบำรุงรักษาระบบสาธารณูปโภค</t>
        </is>
      </c>
      <c r="D135" s="547" t="n">
        <v>6202063001</v>
      </c>
      <c r="E135" s="555">
        <f>C135</f>
        <v/>
      </c>
      <c r="F135" s="547" t="n">
        <v>5300</v>
      </c>
      <c r="G135" s="548" t="inlineStr">
        <is>
          <t>หมวดตอบแทน ใช้สอยและวัสดุ</t>
        </is>
      </c>
    </row>
    <row r="136">
      <c r="A136" s="555" t="inlineStr">
        <is>
          <t>FP-GL</t>
        </is>
      </c>
      <c r="B136" s="546" t="inlineStr">
        <is>
          <t>7033622</t>
        </is>
      </c>
      <c r="C136" s="555" t="inlineStr">
        <is>
          <t>ค่าซ่อมแซมและบำรุงรักษาระบบเครือข่าย/โปรแกรม</t>
        </is>
      </c>
      <c r="D136" s="547" t="n">
        <v>6202063002</v>
      </c>
      <c r="E136" s="555">
        <f>C136</f>
        <v/>
      </c>
      <c r="F136" s="547" t="n">
        <v>5300</v>
      </c>
      <c r="G136" s="548" t="inlineStr">
        <is>
          <t>หมวดตอบแทน ใช้สอยและวัสดุ</t>
        </is>
      </c>
    </row>
    <row r="137">
      <c r="A137" s="555" t="inlineStr">
        <is>
          <t>FP-GL</t>
        </is>
      </c>
      <c r="B137" s="546" t="inlineStr">
        <is>
          <t>7033623</t>
        </is>
      </c>
      <c r="C137" s="555" t="inlineStr">
        <is>
          <t>ค่าซ่อมแซมและบำรุงรักษาสระว่ายน้ำ</t>
        </is>
      </c>
      <c r="D137" s="547" t="n">
        <v>6202063003</v>
      </c>
      <c r="E137" s="555">
        <f>C137</f>
        <v/>
      </c>
      <c r="F137" s="547" t="n">
        <v>5300</v>
      </c>
      <c r="G137" s="548" t="inlineStr">
        <is>
          <t>หมวดตอบแทน ใช้สอยและวัสดุ</t>
        </is>
      </c>
    </row>
    <row r="138">
      <c r="A138" s="555" t="inlineStr">
        <is>
          <t>FP-GL</t>
        </is>
      </c>
      <c r="B138" s="546" t="inlineStr">
        <is>
          <t>7033208</t>
        </is>
      </c>
      <c r="C138" s="555" t="inlineStr">
        <is>
          <t>ค่าบริการทำความสะอาด</t>
        </is>
      </c>
      <c r="D138" s="547" t="n">
        <v>6202070001</v>
      </c>
      <c r="E138" s="555">
        <f>C138</f>
        <v/>
      </c>
      <c r="F138" s="547" t="n">
        <v>5300</v>
      </c>
      <c r="G138" s="548" t="inlineStr">
        <is>
          <t>หมวดตอบแทน ใช้สอยและวัสดุ</t>
        </is>
      </c>
    </row>
    <row r="139">
      <c r="A139" s="555" t="inlineStr">
        <is>
          <t>FP-GL</t>
        </is>
      </c>
      <c r="B139" s="546" t="inlineStr">
        <is>
          <t>7033209</t>
        </is>
      </c>
      <c r="C139" s="555" t="inlineStr">
        <is>
          <t>ค่าบริการรักษาความปลอดภัย</t>
        </is>
      </c>
      <c r="D139" s="547" t="n">
        <v>6202070002</v>
      </c>
      <c r="E139" s="555">
        <f>C139</f>
        <v/>
      </c>
      <c r="F139" s="547" t="n">
        <v>5300</v>
      </c>
      <c r="G139" s="548" t="inlineStr">
        <is>
          <t>หมวดตอบแทน ใช้สอยและวัสดุ</t>
        </is>
      </c>
    </row>
    <row r="140">
      <c r="A140" s="555" t="inlineStr">
        <is>
          <t>FP-GL</t>
        </is>
      </c>
      <c r="B140" s="546" t="inlineStr">
        <is>
          <t>7033210</t>
        </is>
      </c>
      <c r="C140" s="555" t="inlineStr">
        <is>
          <t>ค่าบริการเก็บขยะ</t>
        </is>
      </c>
      <c r="D140" s="547" t="n">
        <v>6202070003</v>
      </c>
      <c r="E140" s="555">
        <f>C140</f>
        <v/>
      </c>
      <c r="F140" s="547" t="n">
        <v>5300</v>
      </c>
      <c r="G140" s="548" t="inlineStr">
        <is>
          <t>หมวดตอบแทน ใช้สอยและวัสดุ</t>
        </is>
      </c>
    </row>
    <row r="141">
      <c r="A141" s="555" t="inlineStr">
        <is>
          <t>FP-GL</t>
        </is>
      </c>
      <c r="B141" s="546" t="inlineStr">
        <is>
          <t>7033211</t>
        </is>
      </c>
      <c r="C141" s="555" t="inlineStr">
        <is>
          <t>ค่าบริการกำจัดปลวก</t>
        </is>
      </c>
      <c r="D141" s="547" t="n">
        <v>6202070004</v>
      </c>
      <c r="E141" s="555">
        <f>C141</f>
        <v/>
      </c>
      <c r="F141" s="547" t="n">
        <v>5300</v>
      </c>
      <c r="G141" s="548" t="inlineStr">
        <is>
          <t>หมวดตอบแทน ใช้สอยและวัสดุ</t>
        </is>
      </c>
    </row>
    <row r="142">
      <c r="A142" s="555" t="inlineStr">
        <is>
          <t>FP-GL</t>
        </is>
      </c>
      <c r="B142" s="546" t="inlineStr">
        <is>
          <t>7033212</t>
        </is>
      </c>
      <c r="C142" s="555" t="inlineStr">
        <is>
          <t>ค่าจ้างซักผ้า</t>
        </is>
      </c>
      <c r="D142" s="547" t="n">
        <v>6202070005</v>
      </c>
      <c r="E142" s="555">
        <f>C142</f>
        <v/>
      </c>
      <c r="F142" s="547" t="n">
        <v>5300</v>
      </c>
      <c r="G142" s="548" t="inlineStr">
        <is>
          <t>หมวดตอบแทน ใช้สอยและวัสดุ</t>
        </is>
      </c>
    </row>
    <row r="143">
      <c r="A143" s="555" t="inlineStr">
        <is>
          <t>FP-GL</t>
        </is>
      </c>
      <c r="B143" s="546" t="inlineStr">
        <is>
          <t>7033214</t>
        </is>
      </c>
      <c r="C143" s="555" t="inlineStr">
        <is>
          <t>ค่าจ้างเหมาบริการอื่นๆ</t>
        </is>
      </c>
      <c r="D143" s="547" t="n">
        <v>6202070096</v>
      </c>
      <c r="E143" s="555">
        <f>C143</f>
        <v/>
      </c>
      <c r="F143" s="547" t="n">
        <v>5300</v>
      </c>
      <c r="G143" s="548" t="inlineStr">
        <is>
          <t>หมวดตอบแทน ใช้สอยและวัสดุ</t>
        </is>
      </c>
    </row>
    <row r="144">
      <c r="A144" s="555" t="inlineStr">
        <is>
          <t>FP-GL</t>
        </is>
      </c>
      <c r="B144" s="546" t="inlineStr">
        <is>
          <t>7033215</t>
        </is>
      </c>
      <c r="C144" s="555" t="inlineStr">
        <is>
          <t>ค่าเช่าสำนักงาน</t>
        </is>
      </c>
      <c r="D144" s="547" t="n">
        <v>6202080001</v>
      </c>
      <c r="E144" s="555">
        <f>C144</f>
        <v/>
      </c>
      <c r="F144" s="547" t="n">
        <v>5300</v>
      </c>
      <c r="G144" s="548" t="inlineStr">
        <is>
          <t>หมวดตอบแทน ใช้สอยและวัสดุ</t>
        </is>
      </c>
    </row>
    <row r="145">
      <c r="A145" s="555" t="inlineStr">
        <is>
          <t>FP-GL</t>
        </is>
      </c>
      <c r="B145" s="546" t="inlineStr">
        <is>
          <t>7033216</t>
        </is>
      </c>
      <c r="C145" s="555" t="inlineStr">
        <is>
          <t>ค่าเช่าครุภัณฑ์คอมพิวเตอร์</t>
        </is>
      </c>
      <c r="D145" s="547" t="n">
        <v>6202080002</v>
      </c>
      <c r="E145" s="555">
        <f>C145</f>
        <v/>
      </c>
      <c r="F145" s="547" t="n">
        <v>5300</v>
      </c>
      <c r="G145" s="548" t="inlineStr">
        <is>
          <t>หมวดตอบแทน ใช้สอยและวัสดุ</t>
        </is>
      </c>
    </row>
    <row r="146">
      <c r="A146" s="555" t="inlineStr">
        <is>
          <t>FP-GL</t>
        </is>
      </c>
      <c r="B146" s="546" t="inlineStr">
        <is>
          <t>7033217</t>
        </is>
      </c>
      <c r="C146" s="555" t="inlineStr">
        <is>
          <t>ค่าเช่ารถไฟฟ้า</t>
        </is>
      </c>
      <c r="D146" s="547" t="n">
        <v>6202080003</v>
      </c>
      <c r="E146" s="555">
        <f>C146</f>
        <v/>
      </c>
      <c r="F146" s="547" t="n">
        <v>5300</v>
      </c>
      <c r="G146" s="548" t="inlineStr">
        <is>
          <t>หมวดตอบแทน ใช้สอยและวัสดุ</t>
        </is>
      </c>
    </row>
    <row r="147">
      <c r="A147" s="555" t="inlineStr">
        <is>
          <t>FP-GL</t>
        </is>
      </c>
      <c r="B147" s="546" t="inlineStr">
        <is>
          <t>7033218</t>
        </is>
      </c>
      <c r="C147" s="555" t="inlineStr">
        <is>
          <t>ค่าเช่าโปรแกรมคอมพิวเตอร์</t>
        </is>
      </c>
      <c r="D147" s="547" t="n">
        <v>6202080004</v>
      </c>
      <c r="E147" s="555">
        <f>C147</f>
        <v/>
      </c>
      <c r="F147" s="547" t="n">
        <v>5300</v>
      </c>
      <c r="G147" s="548" t="inlineStr">
        <is>
          <t>หมวดตอบแทน ใช้สอยและวัสดุ</t>
        </is>
      </c>
    </row>
    <row r="148">
      <c r="A148" s="555" t="inlineStr">
        <is>
          <t>FP-GL</t>
        </is>
      </c>
      <c r="B148" s="546" t="inlineStr">
        <is>
          <t>7033219</t>
        </is>
      </c>
      <c r="C148" s="555" t="inlineStr">
        <is>
          <t>ค่าบำรุงสถานที่/เครื่องมืออุปกรณ์</t>
        </is>
      </c>
      <c r="D148" s="547" t="n">
        <v>6202080005</v>
      </c>
      <c r="E148" s="555">
        <f>C148</f>
        <v/>
      </c>
      <c r="F148" s="547" t="n">
        <v>5300</v>
      </c>
      <c r="G148" s="548" t="inlineStr">
        <is>
          <t>หมวดตอบแทน ใช้สอยและวัสดุ</t>
        </is>
      </c>
    </row>
    <row r="149">
      <c r="A149" s="555" t="inlineStr">
        <is>
          <t>FP-GL</t>
        </is>
      </c>
      <c r="B149" s="546" t="inlineStr">
        <is>
          <t>7033220</t>
        </is>
      </c>
      <c r="C149" s="555" t="inlineStr">
        <is>
          <t>ค่าบำรุงสมาชิกวารสาร/บริการ-รายเดือน/ปี</t>
        </is>
      </c>
      <c r="D149" s="547" t="n">
        <v>6202080006</v>
      </c>
      <c r="E149" s="555">
        <f>C149</f>
        <v/>
      </c>
      <c r="F149" s="547" t="n">
        <v>5300</v>
      </c>
      <c r="G149" s="548" t="inlineStr">
        <is>
          <t>หมวดตอบแทน ใช้สอยและวัสดุ</t>
        </is>
      </c>
    </row>
    <row r="150">
      <c r="A150" s="555" t="inlineStr">
        <is>
          <t>FP-GL</t>
        </is>
      </c>
      <c r="B150" s="546" t="inlineStr">
        <is>
          <t>7033013</t>
        </is>
      </c>
      <c r="C150" s="555" t="inlineStr">
        <is>
          <t>ค่าใช้จ่ายเอกสารทางวิชาการ</t>
        </is>
      </c>
      <c r="D150" s="547" t="n">
        <v>6202080007</v>
      </c>
      <c r="E150" s="555">
        <f>C150</f>
        <v/>
      </c>
      <c r="F150" s="547" t="n">
        <v>5300</v>
      </c>
      <c r="G150" s="548" t="inlineStr">
        <is>
          <t>หมวดตอบแทน ใช้สอยและวัสดุ</t>
        </is>
      </c>
    </row>
    <row r="151">
      <c r="A151" s="555" t="inlineStr">
        <is>
          <t>FP-GL</t>
        </is>
      </c>
      <c r="B151" s="546" t="inlineStr">
        <is>
          <t>7033014</t>
        </is>
      </c>
      <c r="C151" s="555" t="inlineStr">
        <is>
          <t>ค่าใช้จ่ายเอกสารการบรรยาย</t>
        </is>
      </c>
      <c r="D151" s="547" t="n">
        <v>6202080008</v>
      </c>
      <c r="E151" s="555">
        <f>C151</f>
        <v/>
      </c>
      <c r="F151" s="547" t="n">
        <v>5300</v>
      </c>
      <c r="G151" s="548" t="inlineStr">
        <is>
          <t>หมวดตอบแทน ใช้สอยและวัสดุ</t>
        </is>
      </c>
    </row>
    <row r="152">
      <c r="A152" s="555" t="inlineStr">
        <is>
          <t>FP-GL</t>
        </is>
      </c>
      <c r="B152" s="546" t="inlineStr">
        <is>
          <t>7033221</t>
        </is>
      </c>
      <c r="C152" s="555" t="inlineStr">
        <is>
          <t>ค่าถ่ายเอกสารและเข้าเล่ม</t>
        </is>
      </c>
      <c r="D152" s="547" t="n">
        <v>6202080009</v>
      </c>
      <c r="E152" s="555">
        <f>C152</f>
        <v/>
      </c>
      <c r="F152" s="547" t="n">
        <v>5300</v>
      </c>
      <c r="G152" s="548" t="inlineStr">
        <is>
          <t>หมวดตอบแทน ใช้สอยและวัสดุ</t>
        </is>
      </c>
    </row>
    <row r="153">
      <c r="A153" s="555" t="inlineStr">
        <is>
          <t>FP-GL</t>
        </is>
      </c>
      <c r="B153" s="546" t="inlineStr">
        <is>
          <t>7033222</t>
        </is>
      </c>
      <c r="C153" s="555" t="inlineStr">
        <is>
          <t>ค่าวารสารและบริการต่างๆ</t>
        </is>
      </c>
      <c r="D153" s="547" t="n">
        <v>6202080010</v>
      </c>
      <c r="E153" s="555">
        <f>C153</f>
        <v/>
      </c>
      <c r="F153" s="547" t="n">
        <v>5300</v>
      </c>
      <c r="G153" s="548" t="inlineStr">
        <is>
          <t>หมวดตอบแทน ใช้สอยและวัสดุ</t>
        </is>
      </c>
    </row>
    <row r="154">
      <c r="A154" s="555" t="inlineStr">
        <is>
          <t>FP-GL</t>
        </is>
      </c>
      <c r="B154" s="546" t="inlineStr">
        <is>
          <t>7033223</t>
        </is>
      </c>
      <c r="C154" s="555" t="inlineStr">
        <is>
          <t>ค่าใช้จ่ายประชาสัมพันธ์</t>
        </is>
      </c>
      <c r="D154" s="547" t="n">
        <v>6202080011</v>
      </c>
      <c r="E154" s="555">
        <f>C154</f>
        <v/>
      </c>
      <c r="F154" s="547" t="n">
        <v>5300</v>
      </c>
      <c r="G154" s="548" t="inlineStr">
        <is>
          <t>หมวดตอบแทน ใช้สอยและวัสดุ</t>
        </is>
      </c>
    </row>
    <row r="155">
      <c r="A155" s="555" t="inlineStr">
        <is>
          <t>FP-GL</t>
        </is>
      </c>
      <c r="B155" s="546" t="inlineStr">
        <is>
          <t>7033224</t>
        </is>
      </c>
      <c r="C155" s="555" t="inlineStr">
        <is>
          <t>ค่าใช้จ่ายเงินสนับสนุนกิจกรรมนักศึกษา</t>
        </is>
      </c>
      <c r="D155" s="547" t="n">
        <v>6202080012</v>
      </c>
      <c r="E155" s="555">
        <f>C155</f>
        <v/>
      </c>
      <c r="F155" s="547" t="n">
        <v>5300</v>
      </c>
      <c r="G155" s="548" t="inlineStr">
        <is>
          <t>หมวดตอบแทน ใช้สอยและวัสดุ</t>
        </is>
      </c>
    </row>
    <row r="156">
      <c r="A156" s="555" t="inlineStr">
        <is>
          <t>FP-GL</t>
        </is>
      </c>
      <c r="B156" s="546" t="inlineStr">
        <is>
          <t>7033225</t>
        </is>
      </c>
      <c r="C156" s="555" t="inlineStr">
        <is>
          <t>เงินช่วยเหลือกิจกรรมสาธารณะต่างๆ</t>
        </is>
      </c>
      <c r="D156" s="547" t="n">
        <v>6202080013</v>
      </c>
      <c r="E156" s="555">
        <f>C156</f>
        <v/>
      </c>
      <c r="F156" s="547" t="n">
        <v>5300</v>
      </c>
      <c r="G156" s="548" t="inlineStr">
        <is>
          <t>หมวดตอบแทน ใช้สอยและวัสดุ</t>
        </is>
      </c>
    </row>
    <row r="157">
      <c r="A157" s="555" t="inlineStr">
        <is>
          <t>FP-GL</t>
        </is>
      </c>
      <c r="B157" s="546" t="inlineStr">
        <is>
          <t>7033015</t>
        </is>
      </c>
      <c r="C157" s="555" t="inlineStr">
        <is>
          <t>ค่าชดใช้ครุภัณฑ์และความเสียหายอื่นๆ</t>
        </is>
      </c>
      <c r="D157" s="547" t="n">
        <v>6202080014</v>
      </c>
      <c r="E157" s="555">
        <f>C157</f>
        <v/>
      </c>
      <c r="F157" s="547" t="n">
        <v>5300</v>
      </c>
      <c r="G157" s="548" t="inlineStr">
        <is>
          <t>หมวดตอบแทน ใช้สอยและวัสดุ</t>
        </is>
      </c>
    </row>
    <row r="158">
      <c r="A158" s="555" t="inlineStr">
        <is>
          <t>FP-GL</t>
        </is>
      </c>
      <c r="B158" s="546" t="inlineStr">
        <is>
          <t>7033226</t>
        </is>
      </c>
      <c r="C158" s="555" t="inlineStr">
        <is>
          <t>ค่าดอกไม้</t>
        </is>
      </c>
      <c r="D158" s="547" t="n">
        <v>6202080015</v>
      </c>
      <c r="E158" s="555">
        <f>C158</f>
        <v/>
      </c>
      <c r="F158" s="547" t="n">
        <v>5300</v>
      </c>
      <c r="G158" s="548" t="inlineStr">
        <is>
          <t>หมวดตอบแทน ใช้สอยและวัสดุ</t>
        </is>
      </c>
    </row>
    <row r="159">
      <c r="A159" s="555" t="inlineStr">
        <is>
          <t>FP-GL</t>
        </is>
      </c>
      <c r="B159" s="546" t="inlineStr">
        <is>
          <t>7033227</t>
        </is>
      </c>
      <c r="C159" s="555" t="inlineStr">
        <is>
          <t>ค่าของขวัญ/เงินรางวัล</t>
        </is>
      </c>
      <c r="D159" s="547" t="n">
        <v>6202080016</v>
      </c>
      <c r="E159" s="555">
        <f>C159</f>
        <v/>
      </c>
      <c r="F159" s="547" t="n">
        <v>5300</v>
      </c>
      <c r="G159" s="548" t="inlineStr">
        <is>
          <t>หมวดตอบแทน ใช้สอยและวัสดุ</t>
        </is>
      </c>
    </row>
    <row r="160">
      <c r="A160" s="555" t="inlineStr">
        <is>
          <t>FP-GL</t>
        </is>
      </c>
      <c r="B160" s="546" t="inlineStr">
        <is>
          <t>7033229</t>
        </is>
      </c>
      <c r="C160" s="555" t="inlineStr">
        <is>
          <t>ค่าดำเนินการส่วนกลาง</t>
        </is>
      </c>
      <c r="D160" s="547" t="n">
        <v>6202080018</v>
      </c>
      <c r="E160" s="555">
        <f>C160</f>
        <v/>
      </c>
      <c r="F160" s="547" t="n">
        <v>5300</v>
      </c>
      <c r="G160" s="548" t="inlineStr">
        <is>
          <t>หมวดตอบแทน ใช้สอยและวัสดุ</t>
        </is>
      </c>
    </row>
    <row r="161">
      <c r="A161" s="555" t="inlineStr">
        <is>
          <t>FP-GL</t>
        </is>
      </c>
      <c r="B161" s="546" t="inlineStr">
        <is>
          <t>7033230</t>
        </is>
      </c>
      <c r="C161" s="555" t="inlineStr">
        <is>
          <t>ขาดทุนจากอัตราแลกเปลี่ยน</t>
        </is>
      </c>
      <c r="D161" s="547" t="n">
        <v>6202080019</v>
      </c>
      <c r="E161" s="555">
        <f>C161</f>
        <v/>
      </c>
      <c r="F161" s="547" t="n">
        <v>5300</v>
      </c>
      <c r="G161" s="548" t="inlineStr">
        <is>
          <t>หมวดตอบแทน ใช้สอยและวัสดุ</t>
        </is>
      </c>
    </row>
    <row r="162">
      <c r="A162" s="555" t="inlineStr">
        <is>
          <t>FP-GL</t>
        </is>
      </c>
      <c r="B162" s="546" t="inlineStr">
        <is>
          <t>7033395</t>
        </is>
      </c>
      <c r="C162" s="555" t="inlineStr">
        <is>
          <t>ค่าเช่าเครื่องมืออุปกรณ์</t>
        </is>
      </c>
      <c r="D162" s="547" t="n">
        <v>6202080023</v>
      </c>
      <c r="E162" s="555">
        <f>C162</f>
        <v/>
      </c>
      <c r="F162" s="547" t="n">
        <v>5300</v>
      </c>
      <c r="G162" s="548" t="inlineStr">
        <is>
          <t>หมวดตอบแทน ใช้สอยและวัสดุ</t>
        </is>
      </c>
    </row>
    <row r="163">
      <c r="A163" s="555" t="inlineStr">
        <is>
          <t>FP-GL</t>
        </is>
      </c>
      <c r="B163" s="546" t="inlineStr">
        <is>
          <t>7033241</t>
        </is>
      </c>
      <c r="C163" s="555" t="inlineStr">
        <is>
          <t>ค่าเช่าสายสัญญาณอินเตอร์เน็ตระบบ video conference/</t>
        </is>
      </c>
      <c r="D163" s="547" t="n">
        <v>6202080024</v>
      </c>
      <c r="E163" s="555">
        <f>C163</f>
        <v/>
      </c>
      <c r="F163" s="547" t="n">
        <v>5300</v>
      </c>
      <c r="G163" s="548" t="inlineStr">
        <is>
          <t>หมวดตอบแทน ใช้สอยและวัสดุ</t>
        </is>
      </c>
    </row>
    <row r="164">
      <c r="A164" s="555" t="inlineStr">
        <is>
          <t>FP-GL</t>
        </is>
      </c>
      <c r="B164" s="546" t="inlineStr">
        <is>
          <t>7033398</t>
        </is>
      </c>
      <c r="C164" s="555" t="inlineStr">
        <is>
          <t>ค่าเช่าเครื่องถ่ายเอกสาร</t>
        </is>
      </c>
      <c r="D164" s="547" t="n">
        <v>6202080025</v>
      </c>
      <c r="E164" s="555">
        <f>C164</f>
        <v/>
      </c>
      <c r="F164" s="547" t="n">
        <v>5300</v>
      </c>
      <c r="G164" s="548" t="inlineStr">
        <is>
          <t>หมวดตอบแทน ใช้สอยและวัสดุ</t>
        </is>
      </c>
    </row>
    <row r="165">
      <c r="A165" s="555" t="inlineStr">
        <is>
          <t>FP-GL</t>
        </is>
      </c>
      <c r="B165" s="546" t="inlineStr">
        <is>
          <t>7033238</t>
        </is>
      </c>
      <c r="C165" s="555" t="inlineStr">
        <is>
          <t>ค่าเช่าเครื่องพิมพ์คอมพิวเตอร์</t>
        </is>
      </c>
      <c r="D165" s="547" t="n">
        <v>6202080026</v>
      </c>
      <c r="E165" s="555">
        <f>C165</f>
        <v/>
      </c>
      <c r="F165" s="547" t="n">
        <v>5300</v>
      </c>
      <c r="G165" s="548" t="inlineStr">
        <is>
          <t>หมวดตอบแทน ใช้สอยและวัสดุ</t>
        </is>
      </c>
    </row>
    <row r="166">
      <c r="A166" s="555" t="inlineStr">
        <is>
          <t>FP-GL</t>
        </is>
      </c>
      <c r="B166" s="546" t="inlineStr">
        <is>
          <t>7033396</t>
        </is>
      </c>
      <c r="C166" s="555" t="inlineStr">
        <is>
          <t>ค่าสมาชิกวารสารบริการอิเล็กทรอนิกส์</t>
        </is>
      </c>
      <c r="D166" s="547" t="n">
        <v>6202080027</v>
      </c>
      <c r="E166" s="555">
        <f>C166</f>
        <v/>
      </c>
      <c r="F166" s="547" t="n">
        <v>5300</v>
      </c>
      <c r="G166" s="548" t="inlineStr">
        <is>
          <t>หมวดตอบแทน ใช้สอยและวัสดุ</t>
        </is>
      </c>
    </row>
    <row r="167">
      <c r="A167" s="555" t="inlineStr">
        <is>
          <t>FP-GL</t>
        </is>
      </c>
      <c r="B167" s="546" t="inlineStr">
        <is>
          <t>7033299</t>
        </is>
      </c>
      <c r="C167" s="555" t="inlineStr">
        <is>
          <t>ค่าใช้จ่ายเบ็ดเตล็ด</t>
        </is>
      </c>
      <c r="D167" s="547" t="n">
        <v>6202080099</v>
      </c>
      <c r="E167" s="555">
        <f>C167</f>
        <v/>
      </c>
      <c r="F167" s="547" t="n">
        <v>5300</v>
      </c>
      <c r="G167" s="548" t="inlineStr">
        <is>
          <t>หมวดตอบแทน ใช้สอยและวัสดุ</t>
        </is>
      </c>
    </row>
    <row r="168">
      <c r="A168" s="555" t="inlineStr">
        <is>
          <t>FP-GL</t>
        </is>
      </c>
      <c r="B168" s="546" t="inlineStr">
        <is>
          <t>7033401</t>
        </is>
      </c>
      <c r="C168" s="555" t="inlineStr">
        <is>
          <t>ค่าวัสดุสำนักงาน</t>
        </is>
      </c>
      <c r="D168" s="547" t="n">
        <v>6203000002</v>
      </c>
      <c r="E168" s="555">
        <f>C168</f>
        <v/>
      </c>
      <c r="F168" s="547" t="n">
        <v>5300</v>
      </c>
      <c r="G168" s="548" t="inlineStr">
        <is>
          <t>หมวดตอบแทน ใช้สอยและวัสดุ</t>
        </is>
      </c>
    </row>
    <row r="169">
      <c r="A169" s="555" t="inlineStr">
        <is>
          <t>FP-GL</t>
        </is>
      </c>
      <c r="B169" s="546" t="inlineStr">
        <is>
          <t>7033402</t>
        </is>
      </c>
      <c r="C169" s="555" t="inlineStr">
        <is>
          <t>ค่าวัสดุไฟฟ้าและวิทยุ</t>
        </is>
      </c>
      <c r="D169" s="547" t="n">
        <v>6203000003</v>
      </c>
      <c r="E169" s="555">
        <f>C169</f>
        <v/>
      </c>
      <c r="F169" s="547" t="n">
        <v>5300</v>
      </c>
      <c r="G169" s="548" t="inlineStr">
        <is>
          <t>หมวดตอบแทน ใช้สอยและวัสดุ</t>
        </is>
      </c>
    </row>
    <row r="170">
      <c r="A170" s="555" t="inlineStr">
        <is>
          <t>FP-GL</t>
        </is>
      </c>
      <c r="B170" s="546" t="inlineStr">
        <is>
          <t>7033403</t>
        </is>
      </c>
      <c r="C170" s="555" t="inlineStr">
        <is>
          <t>ค่าวัสดุงานบ้านงานครัว</t>
        </is>
      </c>
      <c r="D170" s="547" t="n">
        <v>6203000004</v>
      </c>
      <c r="E170" s="555">
        <f>C170</f>
        <v/>
      </c>
      <c r="F170" s="547" t="n">
        <v>5300</v>
      </c>
      <c r="G170" s="548" t="inlineStr">
        <is>
          <t>หมวดตอบแทน ใช้สอยและวัสดุ</t>
        </is>
      </c>
    </row>
    <row r="171">
      <c r="A171" s="555" t="inlineStr">
        <is>
          <t>FP-GL</t>
        </is>
      </c>
      <c r="B171" s="546" t="inlineStr">
        <is>
          <t>7033404</t>
        </is>
      </c>
      <c r="C171" s="555" t="inlineStr">
        <is>
          <t>ค่าวัสดุก่อสร้างและประปา</t>
        </is>
      </c>
      <c r="D171" s="547" t="n">
        <v>6203000005</v>
      </c>
      <c r="E171" s="555">
        <f>C171</f>
        <v/>
      </c>
      <c r="F171" s="547" t="n">
        <v>5300</v>
      </c>
      <c r="G171" s="548" t="inlineStr">
        <is>
          <t>หมวดตอบแทน ใช้สอยและวัสดุ</t>
        </is>
      </c>
    </row>
    <row r="172">
      <c r="A172" s="555" t="inlineStr">
        <is>
          <t>FP-GL</t>
        </is>
      </c>
      <c r="B172" s="546" t="inlineStr">
        <is>
          <t>7033405</t>
        </is>
      </c>
      <c r="C172" s="555" t="inlineStr">
        <is>
          <t>ค่าวัสดุยานพาหนะและขนส่ง</t>
        </is>
      </c>
      <c r="D172" s="547" t="n">
        <v>6203000006</v>
      </c>
      <c r="E172" s="555">
        <f>C172</f>
        <v/>
      </c>
      <c r="F172" s="547" t="n">
        <v>5300</v>
      </c>
      <c r="G172" s="548" t="inlineStr">
        <is>
          <t>หมวดตอบแทน ใช้สอยและวัสดุ</t>
        </is>
      </c>
    </row>
    <row r="173">
      <c r="A173" s="555" t="inlineStr">
        <is>
          <t>FP-GL</t>
        </is>
      </c>
      <c r="B173" s="546" t="inlineStr">
        <is>
          <t>7033406</t>
        </is>
      </c>
      <c r="C173" s="555" t="inlineStr">
        <is>
          <t>ค่าวัสดุเชื้อเพลิงและหล่อลื่น</t>
        </is>
      </c>
      <c r="D173" s="547" t="n">
        <v>6203000007</v>
      </c>
      <c r="E173" s="555">
        <f>C173</f>
        <v/>
      </c>
      <c r="F173" s="547" t="n">
        <v>5300</v>
      </c>
      <c r="G173" s="548" t="inlineStr">
        <is>
          <t>หมวดตอบแทน ใช้สอยและวัสดุ</t>
        </is>
      </c>
    </row>
    <row r="174">
      <c r="A174" s="555" t="inlineStr">
        <is>
          <t>FP-GL</t>
        </is>
      </c>
      <c r="B174" s="546" t="inlineStr">
        <is>
          <t>7033407</t>
        </is>
      </c>
      <c r="C174" s="555" t="inlineStr">
        <is>
          <t>ค่าวัสดุวิทยาศาสตร์</t>
        </is>
      </c>
      <c r="D174" s="547" t="n">
        <v>6203000008</v>
      </c>
      <c r="E174" s="555">
        <f>C174</f>
        <v/>
      </c>
      <c r="F174" s="547" t="n">
        <v>5300</v>
      </c>
      <c r="G174" s="548" t="inlineStr">
        <is>
          <t>หมวดตอบแทน ใช้สอยและวัสดุ</t>
        </is>
      </c>
    </row>
    <row r="175">
      <c r="A175" s="555" t="inlineStr">
        <is>
          <t>FP-GL</t>
        </is>
      </c>
      <c r="B175" s="546" t="inlineStr">
        <is>
          <t>7033408</t>
        </is>
      </c>
      <c r="C175" s="555" t="inlineStr">
        <is>
          <t>ค่าวัสดุการเกษตร</t>
        </is>
      </c>
      <c r="D175" s="547" t="n">
        <v>6203000009</v>
      </c>
      <c r="E175" s="555">
        <f>C175</f>
        <v/>
      </c>
      <c r="F175" s="547" t="n">
        <v>5300</v>
      </c>
      <c r="G175" s="548" t="inlineStr">
        <is>
          <t>หมวดตอบแทน ใช้สอยและวัสดุ</t>
        </is>
      </c>
    </row>
    <row r="176">
      <c r="A176" s="555" t="inlineStr">
        <is>
          <t>FP-GL</t>
        </is>
      </c>
      <c r="B176" s="546" t="inlineStr">
        <is>
          <t>7033409</t>
        </is>
      </c>
      <c r="C176" s="555" t="inlineStr">
        <is>
          <t>ค่าวัสดุโฆษณาและเผยแพร่</t>
        </is>
      </c>
      <c r="D176" s="547" t="n">
        <v>6203000010</v>
      </c>
      <c r="E176" s="555">
        <f>C176</f>
        <v/>
      </c>
      <c r="F176" s="547" t="n">
        <v>5300</v>
      </c>
      <c r="G176" s="548" t="inlineStr">
        <is>
          <t>หมวดตอบแทน ใช้สอยและวัสดุ</t>
        </is>
      </c>
    </row>
    <row r="177">
      <c r="A177" s="555" t="inlineStr">
        <is>
          <t>FP-GL</t>
        </is>
      </c>
      <c r="B177" s="546" t="inlineStr">
        <is>
          <t>7033410</t>
        </is>
      </c>
      <c r="C177" s="555" t="inlineStr">
        <is>
          <t>ค่าวัสดุเครื่องแต่งกาย</t>
        </is>
      </c>
      <c r="D177" s="547" t="n">
        <v>6203000011</v>
      </c>
      <c r="E177" s="555">
        <f>C177</f>
        <v/>
      </c>
      <c r="F177" s="547" t="n">
        <v>5300</v>
      </c>
      <c r="G177" s="548" t="inlineStr">
        <is>
          <t>หมวดตอบแทน ใช้สอยและวัสดุ</t>
        </is>
      </c>
    </row>
    <row r="178">
      <c r="A178" s="555" t="inlineStr">
        <is>
          <t>FP-GL</t>
        </is>
      </c>
      <c r="B178" s="546" t="inlineStr">
        <is>
          <t>7033411</t>
        </is>
      </c>
      <c r="C178" s="555" t="inlineStr">
        <is>
          <t>ค่าวัสดุกีฬา</t>
        </is>
      </c>
      <c r="D178" s="547" t="n">
        <v>6203000012</v>
      </c>
      <c r="E178" s="555">
        <f>C178</f>
        <v/>
      </c>
      <c r="F178" s="547" t="n">
        <v>5300</v>
      </c>
      <c r="G178" s="548" t="inlineStr">
        <is>
          <t>หมวดตอบแทน ใช้สอยและวัสดุ</t>
        </is>
      </c>
    </row>
    <row r="179">
      <c r="A179" s="555" t="inlineStr">
        <is>
          <t>FP-GL</t>
        </is>
      </c>
      <c r="B179" s="546" t="inlineStr">
        <is>
          <t>7033412</t>
        </is>
      </c>
      <c r="C179" s="555" t="inlineStr">
        <is>
          <t>ค่าวัสดุคอมพิวเตอร์</t>
        </is>
      </c>
      <c r="D179" s="547" t="n">
        <v>6203000013</v>
      </c>
      <c r="E179" s="555">
        <f>C179</f>
        <v/>
      </c>
      <c r="F179" s="547" t="n">
        <v>5300</v>
      </c>
      <c r="G179" s="548" t="inlineStr">
        <is>
          <t>หมวดตอบแทน ใช้สอยและวัสดุ</t>
        </is>
      </c>
    </row>
    <row r="180">
      <c r="A180" s="555" t="inlineStr">
        <is>
          <t>FP-GL</t>
        </is>
      </c>
      <c r="B180" s="546" t="inlineStr">
        <is>
          <t>7033413</t>
        </is>
      </c>
      <c r="C180" s="555" t="inlineStr">
        <is>
          <t>ค่าวัสดุสนาม</t>
        </is>
      </c>
      <c r="D180" s="547" t="n">
        <v>6203000014</v>
      </c>
      <c r="E180" s="555">
        <f>C180</f>
        <v/>
      </c>
      <c r="F180" s="547" t="n">
        <v>5300</v>
      </c>
      <c r="G180" s="548" t="inlineStr">
        <is>
          <t>หมวดตอบแทน ใช้สอยและวัสดุ</t>
        </is>
      </c>
    </row>
    <row r="181">
      <c r="A181" s="555" t="inlineStr">
        <is>
          <t>FP-GL</t>
        </is>
      </c>
      <c r="B181" s="546" t="inlineStr">
        <is>
          <t>7033414</t>
        </is>
      </c>
      <c r="C181" s="555" t="inlineStr">
        <is>
          <t>ค่าวัสดุการศึกษา</t>
        </is>
      </c>
      <c r="D181" s="547" t="n">
        <v>6203000015</v>
      </c>
      <c r="E181" s="555">
        <f>C181</f>
        <v/>
      </c>
      <c r="F181" s="547" t="n">
        <v>5300</v>
      </c>
      <c r="G181" s="548" t="inlineStr">
        <is>
          <t>หมวดตอบแทน ใช้สอยและวัสดุ</t>
        </is>
      </c>
    </row>
    <row r="182">
      <c r="A182" s="555" t="inlineStr">
        <is>
          <t>FP-GL</t>
        </is>
      </c>
      <c r="B182" s="546" t="inlineStr">
        <is>
          <t>7033415</t>
        </is>
      </c>
      <c r="C182" s="555" t="inlineStr">
        <is>
          <t>ค่าวัสดุสำรวจ</t>
        </is>
      </c>
      <c r="D182" s="547" t="n">
        <v>6203000016</v>
      </c>
      <c r="E182" s="555">
        <f>C182</f>
        <v/>
      </c>
      <c r="F182" s="547" t="n">
        <v>5300</v>
      </c>
      <c r="G182" s="548" t="inlineStr">
        <is>
          <t>หมวดตอบแทน ใช้สอยและวัสดุ</t>
        </is>
      </c>
    </row>
    <row r="183">
      <c r="A183" s="555" t="inlineStr">
        <is>
          <t>FP-GL</t>
        </is>
      </c>
      <c r="B183" s="546" t="inlineStr">
        <is>
          <t>7033416</t>
        </is>
      </c>
      <c r="C183" s="555" t="inlineStr">
        <is>
          <t>ค่าวัสดุของที่ระลึก</t>
        </is>
      </c>
      <c r="D183" s="547" t="n">
        <v>6203000017</v>
      </c>
      <c r="E183" s="555">
        <f>C183</f>
        <v/>
      </c>
      <c r="F183" s="547" t="n">
        <v>5300</v>
      </c>
      <c r="G183" s="548" t="inlineStr">
        <is>
          <t>หมวดตอบแทน ใช้สอยและวัสดุ</t>
        </is>
      </c>
    </row>
    <row r="184">
      <c r="A184" s="555" t="inlineStr">
        <is>
          <t>FP-GL</t>
        </is>
      </c>
      <c r="B184" s="546" t="inlineStr">
        <is>
          <t>7033417</t>
        </is>
      </c>
      <c r="C184" s="555" t="inlineStr">
        <is>
          <t>ค่าวัสดุดนตรีและนาฎศิลป์</t>
        </is>
      </c>
      <c r="D184" s="547" t="n">
        <v>6203000018</v>
      </c>
      <c r="E184" s="555">
        <f>C184</f>
        <v/>
      </c>
      <c r="F184" s="547" t="n">
        <v>5300</v>
      </c>
      <c r="G184" s="548" t="inlineStr">
        <is>
          <t>หมวดตอบแทน ใช้สอยและวัสดุ</t>
        </is>
      </c>
    </row>
    <row r="185">
      <c r="A185" s="555" t="inlineStr">
        <is>
          <t>FP-GL</t>
        </is>
      </c>
      <c r="B185" s="546" t="inlineStr">
        <is>
          <t>7033418</t>
        </is>
      </c>
      <c r="C185" s="555" t="inlineStr">
        <is>
          <t>ค่าวัสดุงานเครื่องกล</t>
        </is>
      </c>
      <c r="D185" s="547" t="n">
        <v>6203000019</v>
      </c>
      <c r="E185" s="555">
        <f>C185</f>
        <v/>
      </c>
      <c r="F185" s="547" t="n">
        <v>5300</v>
      </c>
      <c r="G185" s="548" t="inlineStr">
        <is>
          <t>หมวดตอบแทน ใช้สอยและวัสดุ</t>
        </is>
      </c>
    </row>
    <row r="186">
      <c r="A186" s="555" t="inlineStr">
        <is>
          <t>FP-GL</t>
        </is>
      </c>
      <c r="B186" s="546" t="inlineStr">
        <is>
          <t>7033419</t>
        </is>
      </c>
      <c r="C186" s="555" t="inlineStr">
        <is>
          <t>ค่าวัสดุโรงงาน</t>
        </is>
      </c>
      <c r="D186" s="547" t="n">
        <v>6203000020</v>
      </c>
      <c r="E186" s="555">
        <f>C186</f>
        <v/>
      </c>
      <c r="F186" s="547" t="n">
        <v>5300</v>
      </c>
      <c r="G186" s="548" t="inlineStr">
        <is>
          <t>หมวดตอบแทน ใช้สอยและวัสดุ</t>
        </is>
      </c>
    </row>
    <row r="187">
      <c r="A187" s="555" t="inlineStr">
        <is>
          <t>FP-GL</t>
        </is>
      </c>
      <c r="B187" s="546" t="inlineStr">
        <is>
          <t>7033420</t>
        </is>
      </c>
      <c r="C187" s="555" t="inlineStr">
        <is>
          <t>ค่าวัสดุอุปโภค/บริโภค</t>
        </is>
      </c>
      <c r="D187" s="547" t="n">
        <v>6203000021</v>
      </c>
      <c r="E187" s="555">
        <f>C187</f>
        <v/>
      </c>
      <c r="F187" s="547" t="n">
        <v>5300</v>
      </c>
      <c r="G187" s="548" t="inlineStr">
        <is>
          <t>หมวดตอบแทน ใช้สอยและวัสดุ</t>
        </is>
      </c>
    </row>
    <row r="188">
      <c r="A188" s="555" t="inlineStr">
        <is>
          <t>FP-GL</t>
        </is>
      </c>
      <c r="B188" s="546" t="inlineStr">
        <is>
          <t>7033421</t>
        </is>
      </c>
      <c r="C188" s="555" t="inlineStr">
        <is>
          <t>ค่าวัสดุความปลอดภัย</t>
        </is>
      </c>
      <c r="D188" s="547" t="n">
        <v>6203000022</v>
      </c>
      <c r="E188" s="555">
        <f>C188</f>
        <v/>
      </c>
      <c r="F188" s="547" t="n">
        <v>5300</v>
      </c>
      <c r="G188" s="548" t="inlineStr">
        <is>
          <t>หมวดตอบแทน ใช้สอยและวัสดุ</t>
        </is>
      </c>
    </row>
    <row r="189">
      <c r="A189" s="555" t="inlineStr">
        <is>
          <t>FP-GL</t>
        </is>
      </c>
      <c r="B189" s="546" t="inlineStr">
        <is>
          <t>7033422</t>
        </is>
      </c>
      <c r="C189" s="555" t="inlineStr">
        <is>
          <t>ค่าวัสดุสื่อ/ตำรา/วารสาร</t>
        </is>
      </c>
      <c r="D189" s="547" t="n">
        <v>6203000023</v>
      </c>
      <c r="E189" s="555">
        <f>C189</f>
        <v/>
      </c>
      <c r="F189" s="547" t="n">
        <v>5300</v>
      </c>
      <c r="G189" s="548" t="inlineStr">
        <is>
          <t>หมวดตอบแทน ใช้สอยและวัสดุ</t>
        </is>
      </c>
    </row>
    <row r="190">
      <c r="A190" s="555" t="inlineStr">
        <is>
          <t>FP-GL</t>
        </is>
      </c>
      <c r="B190" s="546" t="inlineStr">
        <is>
          <t>7033423</t>
        </is>
      </c>
      <c r="C190" s="555" t="inlineStr">
        <is>
          <t>ค่าวัสดุตกแต่ง</t>
        </is>
      </c>
      <c r="D190" s="547" t="n">
        <v>6203000024</v>
      </c>
      <c r="E190" s="555">
        <f>C190</f>
        <v/>
      </c>
      <c r="F190" s="547" t="n">
        <v>5300</v>
      </c>
      <c r="G190" s="548" t="inlineStr">
        <is>
          <t>หมวดตอบแทน ใช้สอยและวัสดุ</t>
        </is>
      </c>
    </row>
    <row r="191">
      <c r="A191" s="555" t="inlineStr">
        <is>
          <t>FP-GL</t>
        </is>
      </c>
      <c r="B191" s="546" t="inlineStr">
        <is>
          <t>7033424</t>
        </is>
      </c>
      <c r="C191" s="555" t="inlineStr">
        <is>
          <t>ค่าวัสดุเวชภัณฑ์</t>
        </is>
      </c>
      <c r="D191" s="547" t="n">
        <v>6203000025</v>
      </c>
      <c r="E191" s="555">
        <f>C191</f>
        <v/>
      </c>
      <c r="F191" s="547" t="n">
        <v>5300</v>
      </c>
      <c r="G191" s="548" t="inlineStr">
        <is>
          <t>หมวดตอบแทน ใช้สอยและวัสดุ</t>
        </is>
      </c>
    </row>
    <row r="192">
      <c r="A192" s="555" t="inlineStr">
        <is>
          <t>FP-GL</t>
        </is>
      </c>
      <c r="B192" s="546" t="inlineStr">
        <is>
          <t>7033425</t>
        </is>
      </c>
      <c r="C192" s="555" t="inlineStr">
        <is>
          <t>ค่าวัสดุวิทยาศาสตร์เครื่องสำอางฯ</t>
        </is>
      </c>
      <c r="D192" s="547" t="n">
        <v>6203000026</v>
      </c>
      <c r="E192" s="555">
        <f>C192</f>
        <v/>
      </c>
      <c r="F192" s="547" t="n">
        <v>5300</v>
      </c>
      <c r="G192" s="548" t="inlineStr">
        <is>
          <t>หมวดตอบแทน ใช้สอยและวัสดุ</t>
        </is>
      </c>
    </row>
    <row r="193">
      <c r="A193" s="555" t="inlineStr">
        <is>
          <t>FP-GL</t>
        </is>
      </c>
      <c r="B193" s="546" t="inlineStr">
        <is>
          <t>7033426</t>
        </is>
      </c>
      <c r="C193" s="555" t="inlineStr">
        <is>
          <t>ค่าเวชภัณฑ์ที่มิใช่ยา</t>
        </is>
      </c>
      <c r="D193" s="547" t="n">
        <v>6203000027</v>
      </c>
      <c r="E193" s="555">
        <f>C193</f>
        <v/>
      </c>
      <c r="F193" s="547" t="n">
        <v>5300</v>
      </c>
      <c r="G193" s="548" t="inlineStr">
        <is>
          <t>หมวดตอบแทน ใช้สอยและวัสดุ</t>
        </is>
      </c>
    </row>
    <row r="194">
      <c r="A194" s="555" t="inlineStr">
        <is>
          <t>FP-GL</t>
        </is>
      </c>
      <c r="B194" s="546" t="inlineStr">
        <is>
          <t>7033427</t>
        </is>
      </c>
      <c r="C194" s="555" t="inlineStr">
        <is>
          <t>ค่าวัสดุทันตกรรม</t>
        </is>
      </c>
      <c r="D194" s="547" t="n">
        <v>6203000028</v>
      </c>
      <c r="E194" s="555">
        <f>C194</f>
        <v/>
      </c>
      <c r="F194" s="547" t="n">
        <v>5300</v>
      </c>
      <c r="G194" s="548" t="inlineStr">
        <is>
          <t>หมวดตอบแทน ใช้สอยและวัสดุ</t>
        </is>
      </c>
    </row>
    <row r="195">
      <c r="A195" s="555" t="inlineStr">
        <is>
          <t>FP-GL</t>
        </is>
      </c>
      <c r="B195" s="546" t="inlineStr">
        <is>
          <t>7033428</t>
        </is>
      </c>
      <c r="C195" s="555" t="inlineStr">
        <is>
          <t>ค่าบรรจุภัณฑ์</t>
        </is>
      </c>
      <c r="D195" s="547" t="n">
        <v>6203000029</v>
      </c>
      <c r="E195" s="555">
        <f>C195</f>
        <v/>
      </c>
      <c r="F195" s="547" t="n">
        <v>5300</v>
      </c>
      <c r="G195" s="548" t="inlineStr">
        <is>
          <t>หมวดตอบแทน ใช้สอยและวัสดุ</t>
        </is>
      </c>
    </row>
    <row r="196">
      <c r="A196" s="555" t="inlineStr">
        <is>
          <t>FP-GL</t>
        </is>
      </c>
      <c r="B196" s="546" t="inlineStr">
        <is>
          <t>7033429</t>
        </is>
      </c>
      <c r="C196" s="555" t="inlineStr">
        <is>
          <t>ค่าวัสดุห้องปฏิบัติการ</t>
        </is>
      </c>
      <c r="D196" s="547" t="n">
        <v>6203000030</v>
      </c>
      <c r="E196" s="555">
        <f>C196</f>
        <v/>
      </c>
      <c r="F196" s="547" t="n">
        <v>5300</v>
      </c>
      <c r="G196" s="548" t="inlineStr">
        <is>
          <t>หมวดตอบแทน ใช้สอยและวัสดุ</t>
        </is>
      </c>
    </row>
    <row r="197">
      <c r="A197" s="555" t="inlineStr">
        <is>
          <t>FP-GL</t>
        </is>
      </c>
      <c r="B197" s="546" t="inlineStr">
        <is>
          <t>7033397</t>
        </is>
      </c>
      <c r="C197" s="555" t="inlineStr">
        <is>
          <t>ค่าของขวัญ/ของที่ระลึก</t>
        </is>
      </c>
      <c r="D197" s="547" t="n">
        <v>6203000031</v>
      </c>
      <c r="E197" s="555">
        <f>C197</f>
        <v/>
      </c>
      <c r="F197" s="547" t="n">
        <v>5300</v>
      </c>
      <c r="G197" s="548" t="inlineStr">
        <is>
          <t>หมวดตอบแทน ใช้สอยและวัสดุ</t>
        </is>
      </c>
    </row>
    <row r="198">
      <c r="A198" s="555" t="inlineStr">
        <is>
          <t>FP-GL</t>
        </is>
      </c>
      <c r="B198" s="546" t="inlineStr">
        <is>
          <t>7036004</t>
        </is>
      </c>
      <c r="C198" s="555" t="inlineStr">
        <is>
          <t>ค่าใช้จ่ายในการบริหารจัดการกองทุนส่วนบุคคล</t>
        </is>
      </c>
      <c r="D198" s="547" t="n">
        <v>6500000007</v>
      </c>
      <c r="E198" s="555">
        <f>C198</f>
        <v/>
      </c>
      <c r="F198" s="547" t="n">
        <v>5300</v>
      </c>
      <c r="G198" s="548" t="inlineStr">
        <is>
          <t>หมวดตอบแทน ใช้สอยและวัสดุ</t>
        </is>
      </c>
    </row>
    <row r="199">
      <c r="A199" s="555" t="inlineStr">
        <is>
          <t>FP-GL</t>
        </is>
      </c>
      <c r="B199" s="546" t="inlineStr">
        <is>
          <t>7033501</t>
        </is>
      </c>
      <c r="C199" s="555" t="inlineStr">
        <is>
          <t>วัสดุสำนักงาน</t>
        </is>
      </c>
      <c r="D199" s="547" t="n">
        <v>1108000002</v>
      </c>
      <c r="E199" s="555">
        <f>C199</f>
        <v/>
      </c>
      <c r="F199" s="547" t="n">
        <v>5300</v>
      </c>
      <c r="G199" s="548" t="inlineStr">
        <is>
          <t>หมวดตอบแทน ใช้สอยและวัสดุ</t>
        </is>
      </c>
    </row>
    <row r="200">
      <c r="A200" s="555" t="inlineStr">
        <is>
          <t>FP-GL</t>
        </is>
      </c>
      <c r="B200" s="546" t="inlineStr">
        <is>
          <t>7033502</t>
        </is>
      </c>
      <c r="C200" s="555" t="inlineStr">
        <is>
          <t>วัสดุไฟฟ้าและวิทยุ</t>
        </is>
      </c>
      <c r="D200" s="547" t="n">
        <v>1108000003</v>
      </c>
      <c r="E200" s="555">
        <f>C200</f>
        <v/>
      </c>
      <c r="F200" s="547" t="n">
        <v>5300</v>
      </c>
      <c r="G200" s="548" t="inlineStr">
        <is>
          <t>หมวดตอบแทน ใช้สอยและวัสดุ</t>
        </is>
      </c>
    </row>
    <row r="201">
      <c r="A201" s="555" t="inlineStr">
        <is>
          <t>FP-GL</t>
        </is>
      </c>
      <c r="B201" s="546" t="inlineStr">
        <is>
          <t>7033503</t>
        </is>
      </c>
      <c r="C201" s="555" t="inlineStr">
        <is>
          <t>วัสดุงานบ้านงานครัว</t>
        </is>
      </c>
      <c r="D201" s="547" t="n">
        <v>1108000004</v>
      </c>
      <c r="E201" s="555">
        <f>C201</f>
        <v/>
      </c>
      <c r="F201" s="547" t="n">
        <v>5300</v>
      </c>
      <c r="G201" s="548" t="inlineStr">
        <is>
          <t>หมวดตอบแทน ใช้สอยและวัสดุ</t>
        </is>
      </c>
    </row>
    <row r="202">
      <c r="A202" s="555" t="inlineStr">
        <is>
          <t>FP-GL</t>
        </is>
      </c>
      <c r="B202" s="546" t="inlineStr">
        <is>
          <t>7033504</t>
        </is>
      </c>
      <c r="C202" s="555" t="inlineStr">
        <is>
          <t>วัสดุก่อสร้างและประปา</t>
        </is>
      </c>
      <c r="D202" s="547" t="n">
        <v>1108000005</v>
      </c>
      <c r="E202" s="555">
        <f>C202</f>
        <v/>
      </c>
      <c r="F202" s="547" t="n">
        <v>5300</v>
      </c>
      <c r="G202" s="548" t="inlineStr">
        <is>
          <t>หมวดตอบแทน ใช้สอยและวัสดุ</t>
        </is>
      </c>
    </row>
    <row r="203">
      <c r="A203" s="555" t="inlineStr">
        <is>
          <t>FP-GL</t>
        </is>
      </c>
      <c r="B203" s="546" t="inlineStr">
        <is>
          <t>7033505</t>
        </is>
      </c>
      <c r="C203" s="555" t="inlineStr">
        <is>
          <t>วัสดุยานพาหนะ/จราจร</t>
        </is>
      </c>
      <c r="D203" s="547" t="n">
        <v>1108000006</v>
      </c>
      <c r="E203" s="555">
        <f>C203</f>
        <v/>
      </c>
      <c r="F203" s="547" t="n">
        <v>5300</v>
      </c>
      <c r="G203" s="548" t="inlineStr">
        <is>
          <t>หมวดตอบแทน ใช้สอยและวัสดุ</t>
        </is>
      </c>
    </row>
    <row r="204">
      <c r="A204" s="555" t="inlineStr">
        <is>
          <t>FP-GL</t>
        </is>
      </c>
      <c r="B204" s="546" t="inlineStr">
        <is>
          <t>7033506</t>
        </is>
      </c>
      <c r="C204" s="555" t="inlineStr">
        <is>
          <t>วัสดุเชื้อเพลิงและหล่อลื่น</t>
        </is>
      </c>
      <c r="D204" s="547" t="n">
        <v>1108000007</v>
      </c>
      <c r="E204" s="555">
        <f>C204</f>
        <v/>
      </c>
      <c r="F204" s="547" t="n">
        <v>5300</v>
      </c>
      <c r="G204" s="548" t="inlineStr">
        <is>
          <t>หมวดตอบแทน ใช้สอยและวัสดุ</t>
        </is>
      </c>
    </row>
    <row r="205">
      <c r="A205" s="555" t="inlineStr">
        <is>
          <t>FP-GL</t>
        </is>
      </c>
      <c r="B205" s="546" t="inlineStr">
        <is>
          <t>7033507</t>
        </is>
      </c>
      <c r="C205" s="555" t="inlineStr">
        <is>
          <t>วัสดุวิทยาศาสตร์</t>
        </is>
      </c>
      <c r="D205" s="547" t="n">
        <v>1108000008</v>
      </c>
      <c r="E205" s="555">
        <f>C205</f>
        <v/>
      </c>
      <c r="F205" s="547" t="n">
        <v>5300</v>
      </c>
      <c r="G205" s="548" t="inlineStr">
        <is>
          <t>หมวดตอบแทน ใช้สอยและวัสดุ</t>
        </is>
      </c>
    </row>
    <row r="206">
      <c r="A206" s="555" t="inlineStr">
        <is>
          <t>FP-GL</t>
        </is>
      </c>
      <c r="B206" s="546" t="inlineStr">
        <is>
          <t>7033508</t>
        </is>
      </c>
      <c r="C206" s="555" t="inlineStr">
        <is>
          <t>วัสดุการเกษตร</t>
        </is>
      </c>
      <c r="D206" s="547" t="n">
        <v>1108000009</v>
      </c>
      <c r="E206" s="555">
        <f>C206</f>
        <v/>
      </c>
      <c r="F206" s="547" t="n">
        <v>5300</v>
      </c>
      <c r="G206" s="548" t="inlineStr">
        <is>
          <t>หมวดตอบแทน ใช้สอยและวัสดุ</t>
        </is>
      </c>
    </row>
    <row r="207">
      <c r="A207" s="555" t="inlineStr">
        <is>
          <t>FP-GL</t>
        </is>
      </c>
      <c r="B207" s="546" t="inlineStr">
        <is>
          <t>7033509</t>
        </is>
      </c>
      <c r="C207" s="555" t="inlineStr">
        <is>
          <t>วัสดุโฆษณาและเผยแพร่</t>
        </is>
      </c>
      <c r="D207" s="547" t="n">
        <v>1108000010</v>
      </c>
      <c r="E207" s="555">
        <f>C207</f>
        <v/>
      </c>
      <c r="F207" s="547" t="n">
        <v>5300</v>
      </c>
      <c r="G207" s="548" t="inlineStr">
        <is>
          <t>หมวดตอบแทน ใช้สอยและวัสดุ</t>
        </is>
      </c>
    </row>
    <row r="208">
      <c r="A208" s="555" t="inlineStr">
        <is>
          <t>FP-GL</t>
        </is>
      </c>
      <c r="B208" s="546" t="inlineStr">
        <is>
          <t>7033510</t>
        </is>
      </c>
      <c r="C208" s="555" t="inlineStr">
        <is>
          <t>วัสดุเครื่องแต่งกาย</t>
        </is>
      </c>
      <c r="D208" s="547" t="n">
        <v>1108000011</v>
      </c>
      <c r="E208" s="555">
        <f>C208</f>
        <v/>
      </c>
      <c r="F208" s="547" t="n">
        <v>5300</v>
      </c>
      <c r="G208" s="548" t="inlineStr">
        <is>
          <t>หมวดตอบแทน ใช้สอยและวัสดุ</t>
        </is>
      </c>
    </row>
    <row r="209">
      <c r="A209" s="555" t="inlineStr">
        <is>
          <t>FP-GL</t>
        </is>
      </c>
      <c r="B209" s="546" t="inlineStr">
        <is>
          <t>7033511</t>
        </is>
      </c>
      <c r="C209" s="555" t="inlineStr">
        <is>
          <t>วัสดุกีฬา</t>
        </is>
      </c>
      <c r="D209" s="547" t="n">
        <v>1108000012</v>
      </c>
      <c r="E209" s="555">
        <f>C209</f>
        <v/>
      </c>
      <c r="F209" s="547" t="n">
        <v>5300</v>
      </c>
      <c r="G209" s="548" t="inlineStr">
        <is>
          <t>หมวดตอบแทน ใช้สอยและวัสดุ</t>
        </is>
      </c>
    </row>
    <row r="210">
      <c r="A210" s="555" t="inlineStr">
        <is>
          <t>FP-GL</t>
        </is>
      </c>
      <c r="B210" s="546" t="inlineStr">
        <is>
          <t>7033512</t>
        </is>
      </c>
      <c r="C210" s="555" t="inlineStr">
        <is>
          <t>วัสดุคอมพิวเตอร์</t>
        </is>
      </c>
      <c r="D210" s="547" t="n">
        <v>1108000013</v>
      </c>
      <c r="E210" s="555">
        <f>C210</f>
        <v/>
      </c>
      <c r="F210" s="547" t="n">
        <v>5300</v>
      </c>
      <c r="G210" s="548" t="inlineStr">
        <is>
          <t>หมวดตอบแทน ใช้สอยและวัสดุ</t>
        </is>
      </c>
    </row>
    <row r="211">
      <c r="A211" s="555" t="inlineStr">
        <is>
          <t>FP-GL</t>
        </is>
      </c>
      <c r="B211" s="546" t="inlineStr">
        <is>
          <t>7033513</t>
        </is>
      </c>
      <c r="C211" s="555" t="inlineStr">
        <is>
          <t>วัสดุสนาม</t>
        </is>
      </c>
      <c r="D211" s="547" t="n">
        <v>1108000014</v>
      </c>
      <c r="E211" s="555">
        <f>C211</f>
        <v/>
      </c>
      <c r="F211" s="547" t="n">
        <v>5300</v>
      </c>
      <c r="G211" s="548" t="inlineStr">
        <is>
          <t>หมวดตอบแทน ใช้สอยและวัสดุ</t>
        </is>
      </c>
    </row>
    <row r="212">
      <c r="A212" s="555" t="inlineStr">
        <is>
          <t>FP-GL</t>
        </is>
      </c>
      <c r="B212" s="546" t="inlineStr">
        <is>
          <t>7033514</t>
        </is>
      </c>
      <c r="C212" s="555" t="inlineStr">
        <is>
          <t>วัสดุการศึกษา</t>
        </is>
      </c>
      <c r="D212" s="547" t="n">
        <v>1108000015</v>
      </c>
      <c r="E212" s="555">
        <f>C212</f>
        <v/>
      </c>
      <c r="F212" s="547" t="n">
        <v>5300</v>
      </c>
      <c r="G212" s="548" t="inlineStr">
        <is>
          <t>หมวดตอบแทน ใช้สอยและวัสดุ</t>
        </is>
      </c>
    </row>
    <row r="213">
      <c r="A213" s="555" t="inlineStr">
        <is>
          <t>FP-GL</t>
        </is>
      </c>
      <c r="B213" s="546" t="inlineStr">
        <is>
          <t>7033515</t>
        </is>
      </c>
      <c r="C213" s="555" t="inlineStr">
        <is>
          <t>วัสดุสำรวจ</t>
        </is>
      </c>
      <c r="D213" s="547" t="n">
        <v>1108000016</v>
      </c>
      <c r="E213" s="555">
        <f>C213</f>
        <v/>
      </c>
      <c r="F213" s="547" t="n">
        <v>5300</v>
      </c>
      <c r="G213" s="548" t="inlineStr">
        <is>
          <t>หมวดตอบแทน ใช้สอยและวัสดุ</t>
        </is>
      </c>
    </row>
    <row r="214">
      <c r="A214" s="555" t="inlineStr">
        <is>
          <t>FP-GL</t>
        </is>
      </c>
      <c r="B214" s="546" t="inlineStr">
        <is>
          <t>7033516</t>
        </is>
      </c>
      <c r="C214" s="555" t="inlineStr">
        <is>
          <t>วัสดุของที่ระลึก</t>
        </is>
      </c>
      <c r="D214" s="547" t="n">
        <v>1108000017</v>
      </c>
      <c r="E214" s="555">
        <f>C214</f>
        <v/>
      </c>
      <c r="F214" s="547" t="n">
        <v>5300</v>
      </c>
      <c r="G214" s="548" t="inlineStr">
        <is>
          <t>หมวดตอบแทน ใช้สอยและวัสดุ</t>
        </is>
      </c>
    </row>
    <row r="215">
      <c r="A215" s="555" t="inlineStr">
        <is>
          <t>FP-GL</t>
        </is>
      </c>
      <c r="B215" s="546" t="inlineStr">
        <is>
          <t>7033517</t>
        </is>
      </c>
      <c r="C215" s="555" t="inlineStr">
        <is>
          <t>วัสดุดนตรีและนาฎศิลป์</t>
        </is>
      </c>
      <c r="D215" s="547" t="n">
        <v>1108000018</v>
      </c>
      <c r="E215" s="555">
        <f>C215</f>
        <v/>
      </c>
      <c r="F215" s="547" t="n">
        <v>5300</v>
      </c>
      <c r="G215" s="548" t="inlineStr">
        <is>
          <t>หมวดตอบแทน ใช้สอยและวัสดุ</t>
        </is>
      </c>
    </row>
    <row r="216">
      <c r="A216" s="555" t="inlineStr">
        <is>
          <t>FP-GL</t>
        </is>
      </c>
      <c r="B216" s="546" t="inlineStr">
        <is>
          <t>7033518</t>
        </is>
      </c>
      <c r="C216" s="555" t="inlineStr">
        <is>
          <t>วัสดุงานเครื่องกล</t>
        </is>
      </c>
      <c r="D216" s="547" t="n">
        <v>1108000019</v>
      </c>
      <c r="E216" s="555">
        <f>C216</f>
        <v/>
      </c>
      <c r="F216" s="547" t="n">
        <v>5300</v>
      </c>
      <c r="G216" s="548" t="inlineStr">
        <is>
          <t>หมวดตอบแทน ใช้สอยและวัสดุ</t>
        </is>
      </c>
    </row>
    <row r="217">
      <c r="A217" s="555" t="inlineStr">
        <is>
          <t>FP-GL</t>
        </is>
      </c>
      <c r="B217" s="546" t="inlineStr">
        <is>
          <t>7033519</t>
        </is>
      </c>
      <c r="C217" s="555" t="inlineStr">
        <is>
          <t>วัสดุโรงงาน</t>
        </is>
      </c>
      <c r="D217" s="547" t="n">
        <v>1108000020</v>
      </c>
      <c r="E217" s="555">
        <f>C217</f>
        <v/>
      </c>
      <c r="F217" s="547" t="n">
        <v>5300</v>
      </c>
      <c r="G217" s="548" t="inlineStr">
        <is>
          <t>หมวดตอบแทน ใช้สอยและวัสดุ</t>
        </is>
      </c>
    </row>
    <row r="218">
      <c r="A218" s="555" t="inlineStr">
        <is>
          <t>FP-GL</t>
        </is>
      </c>
      <c r="B218" s="546" t="inlineStr">
        <is>
          <t>7033520</t>
        </is>
      </c>
      <c r="C218" s="555" t="inlineStr">
        <is>
          <t>วัสดุอุปโภค/บริโภค</t>
        </is>
      </c>
      <c r="D218" s="547" t="n">
        <v>1108000021</v>
      </c>
      <c r="E218" s="555">
        <f>C218</f>
        <v/>
      </c>
      <c r="F218" s="547" t="n">
        <v>5300</v>
      </c>
      <c r="G218" s="548" t="inlineStr">
        <is>
          <t>หมวดตอบแทน ใช้สอยและวัสดุ</t>
        </is>
      </c>
    </row>
    <row r="219">
      <c r="A219" s="555" t="inlineStr">
        <is>
          <t>FP-GL</t>
        </is>
      </c>
      <c r="B219" s="546" t="inlineStr">
        <is>
          <t>7033521</t>
        </is>
      </c>
      <c r="C219" s="555" t="inlineStr">
        <is>
          <t>วัสดุความปลอดภัย</t>
        </is>
      </c>
      <c r="D219" s="547" t="n">
        <v>1108000022</v>
      </c>
      <c r="E219" s="555">
        <f>C219</f>
        <v/>
      </c>
      <c r="F219" s="547" t="n">
        <v>5300</v>
      </c>
      <c r="G219" s="548" t="inlineStr">
        <is>
          <t>หมวดตอบแทน ใช้สอยและวัสดุ</t>
        </is>
      </c>
    </row>
    <row r="220">
      <c r="A220" s="555" t="inlineStr">
        <is>
          <t>FP-GL</t>
        </is>
      </c>
      <c r="B220" s="546" t="inlineStr">
        <is>
          <t>7033522</t>
        </is>
      </c>
      <c r="C220" s="555" t="inlineStr">
        <is>
          <t>วัสดุสื่อ/ตำรา/วารสาร</t>
        </is>
      </c>
      <c r="D220" s="547" t="n">
        <v>1108000023</v>
      </c>
      <c r="E220" s="555">
        <f>C220</f>
        <v/>
      </c>
      <c r="F220" s="547" t="n">
        <v>5300</v>
      </c>
      <c r="G220" s="548" t="inlineStr">
        <is>
          <t>หมวดตอบแทน ใช้สอยและวัสดุ</t>
        </is>
      </c>
    </row>
    <row r="221">
      <c r="A221" s="555" t="inlineStr">
        <is>
          <t>FP-GL</t>
        </is>
      </c>
      <c r="B221" s="546" t="inlineStr">
        <is>
          <t>7033523</t>
        </is>
      </c>
      <c r="C221" s="555" t="inlineStr">
        <is>
          <t>วัสดุตกแต่ง</t>
        </is>
      </c>
      <c r="D221" s="547" t="n">
        <v>1108000024</v>
      </c>
      <c r="E221" s="555">
        <f>C221</f>
        <v/>
      </c>
      <c r="F221" s="547" t="n">
        <v>5300</v>
      </c>
      <c r="G221" s="548" t="inlineStr">
        <is>
          <t>หมวดตอบแทน ใช้สอยและวัสดุ</t>
        </is>
      </c>
    </row>
    <row r="222">
      <c r="A222" s="555" t="inlineStr">
        <is>
          <t>FP-GL</t>
        </is>
      </c>
      <c r="B222" s="546" t="inlineStr">
        <is>
          <t>7033524</t>
        </is>
      </c>
      <c r="C222" s="555" t="inlineStr">
        <is>
          <t>เวชภัณฑ์ยา</t>
        </is>
      </c>
      <c r="D222" s="547" t="n">
        <v>1108000025</v>
      </c>
      <c r="E222" s="555">
        <f>C222</f>
        <v/>
      </c>
      <c r="F222" s="547" t="n">
        <v>5300</v>
      </c>
      <c r="G222" s="548" t="inlineStr">
        <is>
          <t>หมวดตอบแทน ใช้สอยและวัสดุ</t>
        </is>
      </c>
    </row>
    <row r="223">
      <c r="A223" s="555" t="inlineStr">
        <is>
          <t>FP-GL</t>
        </is>
      </c>
      <c r="B223" s="546" t="inlineStr">
        <is>
          <t>7033525</t>
        </is>
      </c>
      <c r="C223" s="555" t="inlineStr">
        <is>
          <t>เวชสำอาง/เสริมอาหาร</t>
        </is>
      </c>
      <c r="D223" s="547" t="n">
        <v>1108000026</v>
      </c>
      <c r="E223" s="555">
        <f>C223</f>
        <v/>
      </c>
      <c r="F223" s="547" t="n">
        <v>5300</v>
      </c>
      <c r="G223" s="548" t="inlineStr">
        <is>
          <t>หมวดตอบแทน ใช้สอยและวัสดุ</t>
        </is>
      </c>
    </row>
    <row r="224">
      <c r="A224" s="555" t="inlineStr">
        <is>
          <t>FP-GL</t>
        </is>
      </c>
      <c r="B224" s="546" t="inlineStr">
        <is>
          <t>7033526</t>
        </is>
      </c>
      <c r="C224" s="555" t="inlineStr">
        <is>
          <t>เวชภัณฑ์ที่มิใช่ยา</t>
        </is>
      </c>
      <c r="D224" s="547" t="n">
        <v>1108000027</v>
      </c>
      <c r="E224" s="555">
        <f>C224</f>
        <v/>
      </c>
      <c r="F224" s="547" t="n">
        <v>5300</v>
      </c>
      <c r="G224" s="548" t="inlineStr">
        <is>
          <t>หมวดตอบแทน ใช้สอยและวัสดุ</t>
        </is>
      </c>
    </row>
    <row r="225">
      <c r="A225" s="555" t="inlineStr">
        <is>
          <t>FP-GL</t>
        </is>
      </c>
      <c r="B225" s="546" t="inlineStr">
        <is>
          <t>7033527</t>
        </is>
      </c>
      <c r="C225" s="555" t="inlineStr">
        <is>
          <t>วัสดุทันตกรรม</t>
        </is>
      </c>
      <c r="D225" s="547" t="n">
        <v>1108000028</v>
      </c>
      <c r="E225" s="555">
        <f>C225</f>
        <v/>
      </c>
      <c r="F225" s="547" t="n">
        <v>5300</v>
      </c>
      <c r="G225" s="548" t="inlineStr">
        <is>
          <t>หมวดตอบแทน ใช้สอยและวัสดุ</t>
        </is>
      </c>
    </row>
    <row r="226">
      <c r="A226" s="555" t="inlineStr">
        <is>
          <t>FP-GL</t>
        </is>
      </c>
      <c r="B226" s="546" t="inlineStr">
        <is>
          <t>7033528</t>
        </is>
      </c>
      <c r="C226" s="555" t="inlineStr">
        <is>
          <t>บรรจุภัณฑ์</t>
        </is>
      </c>
      <c r="D226" s="547" t="n">
        <v>1108000029</v>
      </c>
      <c r="E226" s="555">
        <f>C226</f>
        <v/>
      </c>
      <c r="F226" s="547" t="n">
        <v>5300</v>
      </c>
      <c r="G226" s="548" t="inlineStr">
        <is>
          <t>หมวดตอบแทน ใช้สอยและวัสดุ</t>
        </is>
      </c>
    </row>
    <row r="227">
      <c r="A227" s="555" t="inlineStr">
        <is>
          <t>FP-GL</t>
        </is>
      </c>
      <c r="B227" s="546" t="inlineStr">
        <is>
          <t>7034001</t>
        </is>
      </c>
      <c r="C227" s="555" t="inlineStr">
        <is>
          <t>ค่าไฟฟ้า</t>
        </is>
      </c>
      <c r="D227" s="547" t="n">
        <v>6204000001</v>
      </c>
      <c r="E227" s="555">
        <f>C227</f>
        <v/>
      </c>
      <c r="F227" s="547" t="n">
        <v>5400</v>
      </c>
      <c r="G227" s="548" t="inlineStr">
        <is>
          <t>หมวดค่าสาธารณูปโภค</t>
        </is>
      </c>
    </row>
    <row r="228">
      <c r="A228" s="555" t="inlineStr">
        <is>
          <t>FP-GL</t>
        </is>
      </c>
      <c r="B228" s="546" t="inlineStr">
        <is>
          <t>7034002</t>
        </is>
      </c>
      <c r="C228" s="555" t="inlineStr">
        <is>
          <t>ค่าน้ำประปา</t>
        </is>
      </c>
      <c r="D228" s="547" t="n">
        <v>6204000002</v>
      </c>
      <c r="E228" s="555">
        <f>C228</f>
        <v/>
      </c>
      <c r="F228" s="547" t="n">
        <v>5400</v>
      </c>
      <c r="G228" s="548" t="inlineStr">
        <is>
          <t>หมวดค่าสาธารณูปโภค</t>
        </is>
      </c>
    </row>
    <row r="229">
      <c r="A229" s="555" t="inlineStr">
        <is>
          <t>FP-GL</t>
        </is>
      </c>
      <c r="B229" s="546" t="inlineStr">
        <is>
          <t>7034003</t>
        </is>
      </c>
      <c r="C229" s="555" t="inlineStr">
        <is>
          <t>ค่าไปรษณีย์และขนส่ง</t>
        </is>
      </c>
      <c r="D229" s="547" t="n">
        <v>6204000003</v>
      </c>
      <c r="E229" s="555">
        <f>C229</f>
        <v/>
      </c>
      <c r="F229" s="547" t="n">
        <v>5400</v>
      </c>
      <c r="G229" s="548" t="inlineStr">
        <is>
          <t>หมวดค่าสาธารณูปโภค</t>
        </is>
      </c>
    </row>
    <row r="230">
      <c r="A230" s="555" t="inlineStr">
        <is>
          <t>FP-GL</t>
        </is>
      </c>
      <c r="B230" s="546" t="inlineStr">
        <is>
          <t>7034004</t>
        </is>
      </c>
      <c r="C230" s="555" t="inlineStr">
        <is>
          <t>ค่าโทรศัพท์และโทรสารในประเทศ</t>
        </is>
      </c>
      <c r="D230" s="547" t="n">
        <v>6204000004</v>
      </c>
      <c r="E230" s="555">
        <f>C230</f>
        <v/>
      </c>
      <c r="F230" s="547" t="n">
        <v>5400</v>
      </c>
      <c r="G230" s="548" t="inlineStr">
        <is>
          <t>หมวดค่าสาธารณูปโภค</t>
        </is>
      </c>
    </row>
    <row r="231">
      <c r="A231" s="555" t="inlineStr">
        <is>
          <t>FP-GL</t>
        </is>
      </c>
      <c r="B231" s="546" t="inlineStr">
        <is>
          <t>7034005</t>
        </is>
      </c>
      <c r="C231" s="555" t="inlineStr">
        <is>
          <t>ค่าบริการทางอินเตอร์เน็ต</t>
        </is>
      </c>
      <c r="D231" s="547" t="n">
        <v>6204000006</v>
      </c>
      <c r="E231" s="555">
        <f>C231</f>
        <v/>
      </c>
      <c r="F231" s="547" t="n">
        <v>5400</v>
      </c>
      <c r="G231" s="548" t="inlineStr">
        <is>
          <t>หมวดค่าสาธารณูปโภค</t>
        </is>
      </c>
    </row>
    <row r="232">
      <c r="A232" s="555" t="inlineStr">
        <is>
          <t>FP-GL</t>
        </is>
      </c>
      <c r="B232" s="546" t="inlineStr">
        <is>
          <t>7036008</t>
        </is>
      </c>
      <c r="C232" s="555" t="inlineStr">
        <is>
          <t>ทุนการศึกษาประกาศนียบัตร</t>
        </is>
      </c>
      <c r="D232" s="547" t="n">
        <v>6500000008</v>
      </c>
      <c r="E232" s="555">
        <f>C232</f>
        <v/>
      </c>
      <c r="F232" s="547" t="n">
        <v>5600</v>
      </c>
      <c r="G232" s="548" t="inlineStr">
        <is>
          <t>หมวดเงินอุดหนุน</t>
        </is>
      </c>
    </row>
    <row r="233">
      <c r="A233" s="555" t="inlineStr">
        <is>
          <t>FP-GL</t>
        </is>
      </c>
      <c r="B233" s="546" t="inlineStr">
        <is>
          <t>7036009</t>
        </is>
      </c>
      <c r="C233" s="555" t="inlineStr">
        <is>
          <t>ทุนการศึกษานักศึกษานานาชาติ/นักศึกษาและเปลี</t>
        </is>
      </c>
      <c r="D233" s="547" t="n">
        <v>6500000009</v>
      </c>
      <c r="E233" s="555">
        <f>C233</f>
        <v/>
      </c>
      <c r="F233" s="547" t="n">
        <v>5600</v>
      </c>
      <c r="G233" s="548" t="inlineStr">
        <is>
          <t>หมวดเงินอุดหนุน</t>
        </is>
      </c>
    </row>
    <row r="234">
      <c r="A234" s="555" t="inlineStr">
        <is>
          <t>FP-GL</t>
        </is>
      </c>
      <c r="B234" s="546" t="inlineStr">
        <is>
          <t>7036005</t>
        </is>
      </c>
      <c r="C234" s="555" t="inlineStr">
        <is>
          <t>ทุนการศึกษา ป.ตรี</t>
        </is>
      </c>
      <c r="D234" s="547" t="n">
        <v>6500000001</v>
      </c>
      <c r="E234" s="555">
        <f>C234</f>
        <v/>
      </c>
      <c r="F234" s="547" t="n">
        <v>5600</v>
      </c>
      <c r="G234" s="548" t="inlineStr">
        <is>
          <t>หมวดเงินอุดหนุน</t>
        </is>
      </c>
    </row>
    <row r="235">
      <c r="A235" s="555" t="inlineStr">
        <is>
          <t>FP-GL</t>
        </is>
      </c>
      <c r="B235" s="546" t="inlineStr">
        <is>
          <t>7036006</t>
        </is>
      </c>
      <c r="C235" s="555" t="inlineStr">
        <is>
          <t>ทุนการศึกษา ป.โท</t>
        </is>
      </c>
      <c r="D235" s="547" t="n">
        <v>6500000002</v>
      </c>
      <c r="E235" s="555">
        <f>C235</f>
        <v/>
      </c>
      <c r="F235" s="547" t="n">
        <v>5600</v>
      </c>
      <c r="G235" s="548" t="inlineStr">
        <is>
          <t>หมวดเงินอุดหนุน</t>
        </is>
      </c>
    </row>
    <row r="236">
      <c r="A236" s="555" t="inlineStr">
        <is>
          <t>FP-GL</t>
        </is>
      </c>
      <c r="B236" s="546" t="inlineStr">
        <is>
          <t>7036007</t>
        </is>
      </c>
      <c r="C236" s="555" t="inlineStr">
        <is>
          <t>ทุนการศึกษา ป.เอก</t>
        </is>
      </c>
      <c r="D236" s="547" t="n">
        <v>6500000003</v>
      </c>
      <c r="E236" s="555">
        <f>C236</f>
        <v/>
      </c>
      <c r="F236" s="547" t="n">
        <v>5600</v>
      </c>
      <c r="G236" s="548" t="inlineStr">
        <is>
          <t>หมวดเงินอุดหนุน</t>
        </is>
      </c>
    </row>
    <row r="237">
      <c r="A237" s="555" t="inlineStr">
        <is>
          <t>FP-GL</t>
        </is>
      </c>
      <c r="B237" s="546" t="inlineStr">
        <is>
          <t>7036001</t>
        </is>
      </c>
      <c r="C237" s="555" t="inlineStr">
        <is>
          <t>โครงการวิจัย</t>
        </is>
      </c>
      <c r="D237" s="547" t="n">
        <v>6500000004</v>
      </c>
      <c r="E237" s="555">
        <f>C237</f>
        <v/>
      </c>
      <c r="F237" s="547" t="n">
        <v>5600</v>
      </c>
      <c r="G237" s="548" t="inlineStr">
        <is>
          <t>หมวดเงินอุดหนุน</t>
        </is>
      </c>
    </row>
    <row r="238">
      <c r="A238" s="555" t="inlineStr">
        <is>
          <t>FP-GL</t>
        </is>
      </c>
      <c r="B238" s="546" t="inlineStr">
        <is>
          <t>7036002</t>
        </is>
      </c>
      <c r="C238" s="555" t="inlineStr">
        <is>
          <t>ค่าใช้จ่ายสนับสนุนการจัดซื้อวัสดุอุปกรณ์</t>
        </is>
      </c>
      <c r="D238" s="547" t="n">
        <v>6500000005</v>
      </c>
      <c r="E238" s="555">
        <f>C238</f>
        <v/>
      </c>
      <c r="F238" s="547" t="n">
        <v>5600</v>
      </c>
      <c r="G238" s="548" t="inlineStr">
        <is>
          <t>หมวดเงินอุดหนุน</t>
        </is>
      </c>
    </row>
    <row r="239">
      <c r="A239" s="555" t="inlineStr">
        <is>
          <t>FP-GL</t>
        </is>
      </c>
      <c r="B239" s="546" t="inlineStr">
        <is>
          <t>7036003</t>
        </is>
      </c>
      <c r="C239" s="555" t="inlineStr">
        <is>
          <t>ทุนอาหารกลางวัน</t>
        </is>
      </c>
      <c r="D239" s="547" t="n">
        <v>6500000006</v>
      </c>
      <c r="E239" s="555">
        <f>C239</f>
        <v/>
      </c>
      <c r="F239" s="547" t="n">
        <v>5600</v>
      </c>
      <c r="G239" s="548" t="inlineStr">
        <is>
          <t>หมวดเงินอุดหนุน</t>
        </is>
      </c>
    </row>
    <row r="240">
      <c r="A240" s="555" t="inlineStr">
        <is>
          <t>FP-GL</t>
        </is>
      </c>
      <c r="B240" s="546" t="inlineStr">
        <is>
          <t>7033634</t>
        </is>
      </c>
      <c r="C240" s="555" t="inlineStr">
        <is>
          <t>ค่าวัสดุการแพทย์</t>
        </is>
      </c>
      <c r="D240" s="547" t="n">
        <v>6203000033</v>
      </c>
      <c r="E240" s="555">
        <f>C240</f>
        <v/>
      </c>
      <c r="F240" s="547" t="n">
        <v>5300</v>
      </c>
      <c r="G240" s="548" t="inlineStr">
        <is>
          <t>หมวดตอบแทน ใช้สอยและวัสดุ</t>
        </is>
      </c>
    </row>
    <row r="241">
      <c r="A241" s="555" t="inlineStr">
        <is>
          <t>FP-GL</t>
        </is>
      </c>
      <c r="B241" s="546" t="inlineStr">
        <is>
          <t>7033624</t>
        </is>
      </c>
      <c r="C241" s="555" t="inlineStr">
        <is>
          <t>ทุนการศึกษา-คณะกรรมการหอพัก</t>
        </is>
      </c>
      <c r="D241" s="547" t="n">
        <v>6500000011</v>
      </c>
      <c r="E241" s="555">
        <f>C241</f>
        <v/>
      </c>
      <c r="F241" s="547" t="n">
        <v>5600</v>
      </c>
      <c r="G241" s="548" t="inlineStr">
        <is>
          <t>หมวดเงินอุดหนุน</t>
        </is>
      </c>
    </row>
    <row r="242">
      <c r="A242" s="555" t="inlineStr">
        <is>
          <t>FP-GL</t>
        </is>
      </c>
      <c r="B242" s="546" t="inlineStr">
        <is>
          <t>7033854</t>
        </is>
      </c>
      <c r="C242" s="555" t="inlineStr">
        <is>
          <t>ค่าบริการงานวิจัย-จ้างเหมาวิจัย</t>
        </is>
      </c>
      <c r="D242" s="547" t="n">
        <v>6202090101</v>
      </c>
      <c r="E242" s="555">
        <f>C242</f>
        <v/>
      </c>
      <c r="F242" s="547" t="n">
        <v>5300</v>
      </c>
      <c r="G242" s="548" t="inlineStr">
        <is>
          <t>หมวดตอบแทน ใช้สอยและวัสดุ</t>
        </is>
      </c>
    </row>
    <row r="243">
      <c r="A243" s="555" t="inlineStr">
        <is>
          <t>FP-GL</t>
        </is>
      </c>
      <c r="B243" s="546" t="inlineStr">
        <is>
          <t>7033855</t>
        </is>
      </c>
      <c r="C243" s="555" t="inlineStr">
        <is>
          <t>ค่าบริการงานวิจัย-ค่าตอบแทน</t>
        </is>
      </c>
      <c r="D243" s="547" t="n">
        <v>6202090201</v>
      </c>
      <c r="E243" s="555">
        <f>C243</f>
        <v/>
      </c>
      <c r="F243" s="547" t="n">
        <v>5300</v>
      </c>
      <c r="G243" s="548" t="inlineStr">
        <is>
          <t>หมวดตอบแทน ใช้สอยและวัสดุ</t>
        </is>
      </c>
    </row>
    <row r="244">
      <c r="A244" s="555" t="inlineStr">
        <is>
          <t>FP-GL</t>
        </is>
      </c>
      <c r="B244" s="546" t="inlineStr">
        <is>
          <t>7033856</t>
        </is>
      </c>
      <c r="C244" s="555" t="inlineStr">
        <is>
          <t>ค่าบริการงานวิจัย-ค่าใช้สอย</t>
        </is>
      </c>
      <c r="D244" s="547" t="n">
        <v>6202090202</v>
      </c>
      <c r="E244" s="555">
        <f>C244</f>
        <v/>
      </c>
      <c r="F244" s="547" t="n">
        <v>5300</v>
      </c>
      <c r="G244" s="548" t="inlineStr">
        <is>
          <t>หมวดตอบแทน ใช้สอยและวัสดุ</t>
        </is>
      </c>
    </row>
    <row r="245">
      <c r="A245" s="555" t="inlineStr">
        <is>
          <t>FP-GL</t>
        </is>
      </c>
      <c r="B245" s="546" t="inlineStr">
        <is>
          <t>7033857</t>
        </is>
      </c>
      <c r="C245" s="555" t="inlineStr">
        <is>
          <t>ค่าบริการงานวิจัย-ค่าวัสดุ</t>
        </is>
      </c>
      <c r="D245" s="547" t="n">
        <v>6202090203</v>
      </c>
      <c r="E245" s="555">
        <f>C245</f>
        <v/>
      </c>
      <c r="F245" s="547" t="n">
        <v>5300</v>
      </c>
      <c r="G245" s="548" t="inlineStr">
        <is>
          <t>หมวดตอบแทน ใช้สอยและวัสดุ</t>
        </is>
      </c>
    </row>
    <row r="246">
      <c r="A246" s="555" t="inlineStr">
        <is>
          <t>FP-GL</t>
        </is>
      </c>
      <c r="B246" s="546" t="inlineStr">
        <is>
          <t>7033635</t>
        </is>
      </c>
      <c r="C246" s="555" t="inlineStr">
        <is>
          <t>วัสดุการแพทย์</t>
        </is>
      </c>
      <c r="D246" s="547" t="n">
        <v>1108000030</v>
      </c>
      <c r="E246" s="555">
        <f>C246</f>
        <v/>
      </c>
      <c r="F246" s="547" t="n">
        <v>5300</v>
      </c>
      <c r="G246" s="548" t="inlineStr">
        <is>
          <t>หมวดตอบแทน ใช้สอยและวัสดุ</t>
        </is>
      </c>
    </row>
    <row r="247">
      <c r="A247" s="555" t="inlineStr">
        <is>
          <t>FP-GL</t>
        </is>
      </c>
      <c r="B247" s="546" t="inlineStr">
        <is>
          <t>7033657</t>
        </is>
      </c>
      <c r="C247" s="555" t="inlineStr">
        <is>
          <t>อวัยวะเทียม/อุปกรณ์</t>
        </is>
      </c>
      <c r="D247" s="547" t="n">
        <v>1108000039</v>
      </c>
      <c r="E247" s="555">
        <f>C247</f>
        <v/>
      </c>
      <c r="F247" s="547" t="n">
        <v>5300</v>
      </c>
      <c r="G247" s="548" t="inlineStr">
        <is>
          <t>หมวดตอบแทน ใช้สอยและวัสดุ</t>
        </is>
      </c>
    </row>
    <row r="248">
      <c r="A248" s="555" t="inlineStr">
        <is>
          <t>FP-GL</t>
        </is>
      </c>
      <c r="B248" s="546" t="inlineStr">
        <is>
          <t>7033659</t>
        </is>
      </c>
      <c r="C248" s="555" t="inlineStr">
        <is>
          <t>ค่าอวัยวะเทียมและอุปกรณ์ในการบำบัดรักษา</t>
        </is>
      </c>
      <c r="D248" s="547" t="n">
        <v>6203000034</v>
      </c>
      <c r="E248" s="555">
        <f>C248</f>
        <v/>
      </c>
      <c r="F248" s="547" t="n">
        <v>5300</v>
      </c>
      <c r="G248" s="548" t="inlineStr">
        <is>
          <t>หมวดตอบแทน ใช้สอยและวัสดุ</t>
        </is>
      </c>
    </row>
    <row r="249">
      <c r="A249" s="555" t="inlineStr">
        <is>
          <t>FP-GL</t>
        </is>
      </c>
      <c r="B249" s="546" t="inlineStr">
        <is>
          <t>7033288</t>
        </is>
      </c>
      <c r="C249" s="555" t="inlineStr">
        <is>
          <t>ค่าเครื่องบิน พนง-ตปท</t>
        </is>
      </c>
      <c r="D249" s="547" t="n">
        <v>6202230006</v>
      </c>
      <c r="E249" s="555">
        <f>C249</f>
        <v/>
      </c>
      <c r="F249" s="547" t="n">
        <v>5300</v>
      </c>
      <c r="G249" s="548" t="inlineStr">
        <is>
          <t>หมวดตอบแทน ใช้สอยและวัสดุ</t>
        </is>
      </c>
    </row>
    <row r="250">
      <c r="A250" s="555" t="inlineStr">
        <is>
          <t>FP-GL</t>
        </is>
      </c>
      <c r="B250" s="546" t="inlineStr">
        <is>
          <t>7033289</t>
        </is>
      </c>
      <c r="C250" s="555" t="inlineStr">
        <is>
          <t>ค่าเครื่องบิน พนง-ในประเทศ</t>
        </is>
      </c>
      <c r="D250" s="547" t="n">
        <v>6202130006</v>
      </c>
      <c r="E250" s="555">
        <f>C250</f>
        <v/>
      </c>
      <c r="F250" s="547" t="n">
        <v>5300</v>
      </c>
      <c r="G250" s="548" t="inlineStr">
        <is>
          <t>หมวดตอบแทน ใช้สอยและวัสดุ</t>
        </is>
      </c>
    </row>
    <row r="251">
      <c r="A251" s="555" t="inlineStr">
        <is>
          <t>FP-GL</t>
        </is>
      </c>
      <c r="B251" s="546" t="inlineStr">
        <is>
          <t>7033491</t>
        </is>
      </c>
      <c r="C251" s="555" t="inlineStr">
        <is>
          <t>คก.วิจัย</t>
        </is>
      </c>
      <c r="D251" s="547" t="n">
        <v>6202090102</v>
      </c>
      <c r="E251" s="555">
        <f>C251</f>
        <v/>
      </c>
      <c r="F251" s="547" t="n">
        <v>5300</v>
      </c>
      <c r="G251" s="548" t="inlineStr">
        <is>
          <t>หมวดตอบแทน ใช้สอยและวัสดุ</t>
        </is>
      </c>
    </row>
    <row r="252">
      <c r="A252" s="555" t="inlineStr">
        <is>
          <t>FP-GL</t>
        </is>
      </c>
      <c r="B252" s="546" t="inlineStr">
        <is>
          <t>7033492</t>
        </is>
      </c>
      <c r="C252" s="555" t="inlineStr">
        <is>
          <t>คชจ.อุดหนุน-วิจัย</t>
        </is>
      </c>
      <c r="D252" s="547" t="n">
        <v>6300000019</v>
      </c>
      <c r="E252" s="555">
        <f>C252</f>
        <v/>
      </c>
      <c r="F252" s="547" t="n">
        <v>5300</v>
      </c>
      <c r="G252" s="548" t="inlineStr">
        <is>
          <t>หมวดตอบแทน ใช้สอยและวัสดุ</t>
        </is>
      </c>
    </row>
    <row r="253">
      <c r="A253" s="555" t="inlineStr">
        <is>
          <t>FP-GL</t>
        </is>
      </c>
      <c r="B253" s="546" t="inlineStr">
        <is>
          <t>7033494</t>
        </is>
      </c>
      <c r="C253" s="555" t="inlineStr">
        <is>
          <t>ค.เบี้ยอาจารย์-ฝึกอบรม</t>
        </is>
      </c>
      <c r="D253" s="547" t="n">
        <v>6202500054</v>
      </c>
      <c r="E253" s="555">
        <f>C253</f>
        <v/>
      </c>
      <c r="F253" s="547" t="n">
        <v>5300</v>
      </c>
      <c r="G253" s="548" t="inlineStr">
        <is>
          <t>หมวดตอบแทน ใช้สอยและวัสดุ</t>
        </is>
      </c>
    </row>
    <row r="254">
      <c r="A254" s="555" t="inlineStr">
        <is>
          <t>FP-GL</t>
        </is>
      </c>
      <c r="B254" s="546" t="inlineStr">
        <is>
          <t>7033495</t>
        </is>
      </c>
      <c r="C254" s="555" t="inlineStr">
        <is>
          <t>ค่าเครื่องบินอาจารย์-ฝึกอบรมบุคคลภายนอก</t>
        </is>
      </c>
      <c r="D254" s="547" t="n">
        <v>6202500052</v>
      </c>
      <c r="E254" s="555">
        <f>C254</f>
        <v/>
      </c>
      <c r="F254" s="547" t="n">
        <v>5300</v>
      </c>
      <c r="G254" s="548" t="inlineStr">
        <is>
          <t>หมวดตอบแทน ใช้สอยและวัสดุ</t>
        </is>
      </c>
    </row>
    <row r="255">
      <c r="A255" s="555" t="inlineStr">
        <is>
          <t>FP-GL</t>
        </is>
      </c>
      <c r="B255" s="546" t="inlineStr">
        <is>
          <t>7033496</t>
        </is>
      </c>
      <c r="C255" s="555" t="inlineStr">
        <is>
          <t>ค่าที่พักอาจารย์-ฝึกอบรมบุคคลภายนอก</t>
        </is>
      </c>
      <c r="D255" s="547" t="n">
        <v>6202500053</v>
      </c>
      <c r="E255" s="555">
        <f>C255</f>
        <v/>
      </c>
      <c r="F255" s="547" t="n">
        <v>5300</v>
      </c>
      <c r="G255" s="548" t="inlineStr">
        <is>
          <t>หมวดตอบแทน ใช้สอยและวัสดุ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8" defaultColWidth="12.63" defaultRowHeight="15.75" customHeight="1"/>
  <cols>
    <col width="8" customWidth="1" style="592" min="1" max="1"/>
    <col width="61.63" customWidth="1" style="592" min="2" max="2"/>
    <col width="8" customWidth="1" style="592" min="3" max="6"/>
  </cols>
  <sheetData>
    <row r="1">
      <c r="A1" s="549" t="inlineStr">
        <is>
          <t>รหัส FC</t>
        </is>
      </c>
      <c r="B1" s="549" t="inlineStr">
        <is>
          <t>หน่วยงาน</t>
        </is>
      </c>
      <c r="C1" s="549" t="inlineStr">
        <is>
          <t>รหัสงาน</t>
        </is>
      </c>
      <c r="D1" s="549" t="inlineStr">
        <is>
          <t>ชื่องาน</t>
        </is>
      </c>
      <c r="E1" s="549" t="inlineStr">
        <is>
          <t>รหัสกองทุน</t>
        </is>
      </c>
      <c r="F1" s="549" t="inlineStr">
        <is>
          <t>กองทุน</t>
        </is>
      </c>
    </row>
    <row r="2">
      <c r="A2" s="550" t="n"/>
      <c r="B2" s="551" t="inlineStr">
        <is>
          <t>#กลุ่มสำนักวิชา</t>
        </is>
      </c>
      <c r="C2" s="550" t="n"/>
      <c r="D2" s="550" t="n"/>
      <c r="E2" s="550" t="n"/>
      <c r="F2" s="550" t="n"/>
    </row>
    <row r="3">
      <c r="A3" s="554" t="inlineStr">
        <is>
          <t>11100000</t>
        </is>
      </c>
      <c r="B3" s="555" t="inlineStr">
        <is>
          <t>สำนักวิชาศิลปศาสตร์</t>
        </is>
      </c>
      <c r="C3" s="554" t="inlineStr">
        <is>
          <t>01100</t>
        </is>
      </c>
      <c r="D3" s="555" t="inlineStr">
        <is>
          <t>งานจัดการศึกษาสำนักวิชา</t>
        </is>
      </c>
      <c r="E3" s="554" t="inlineStr">
        <is>
          <t>202000</t>
        </is>
      </c>
      <c r="F3" s="555" t="inlineStr">
        <is>
          <t>กองทุนเพื่อการศึกษา</t>
        </is>
      </c>
    </row>
    <row r="4">
      <c r="A4" s="554" t="inlineStr">
        <is>
          <t>11110000</t>
        </is>
      </c>
      <c r="B4" s="555" t="inlineStr">
        <is>
          <t>สำนักวิชาวิทยาศาสตร์</t>
        </is>
      </c>
      <c r="C4" s="554" t="inlineStr">
        <is>
          <t>01100</t>
        </is>
      </c>
      <c r="D4" s="555" t="inlineStr">
        <is>
          <t>งานจัดการศึกษาสำนักวิชา</t>
        </is>
      </c>
      <c r="E4" s="554" t="inlineStr">
        <is>
          <t>202000</t>
        </is>
      </c>
      <c r="F4" s="555" t="inlineStr">
        <is>
          <t>กองทุนเพื่อการศึกษา</t>
        </is>
      </c>
    </row>
    <row r="5">
      <c r="A5" s="554" t="inlineStr">
        <is>
          <t>11120000</t>
        </is>
      </c>
      <c r="B5" s="555" t="inlineStr">
        <is>
          <t>สำนักวิชาการจัดการ</t>
        </is>
      </c>
      <c r="C5" s="554" t="inlineStr">
        <is>
          <t>01100</t>
        </is>
      </c>
      <c r="D5" s="555" t="inlineStr">
        <is>
          <t>งานจัดการศึกษาสำนักวิชา</t>
        </is>
      </c>
      <c r="E5" s="554" t="inlineStr">
        <is>
          <t>202000</t>
        </is>
      </c>
      <c r="F5" s="555" t="inlineStr">
        <is>
          <t>กองทุนเพื่อการศึกษา</t>
        </is>
      </c>
    </row>
    <row r="6">
      <c r="A6" s="554" t="inlineStr">
        <is>
          <t>11130000</t>
        </is>
      </c>
      <c r="B6" s="555" t="inlineStr">
        <is>
          <t>สำนักวิชาเทคโนโลยีดิจิทัลประยุกต์</t>
        </is>
      </c>
      <c r="C6" s="554" t="inlineStr">
        <is>
          <t>01100</t>
        </is>
      </c>
      <c r="D6" s="555" t="inlineStr">
        <is>
          <t>งานจัดการศึกษาสำนักวิชา</t>
        </is>
      </c>
      <c r="E6" s="554" t="inlineStr">
        <is>
          <t>202000</t>
        </is>
      </c>
      <c r="F6" s="555" t="inlineStr">
        <is>
          <t>กองทุนเพื่อการศึกษา</t>
        </is>
      </c>
    </row>
    <row r="7">
      <c r="A7" s="554" t="inlineStr">
        <is>
          <t>11140000</t>
        </is>
      </c>
      <c r="B7" s="555" t="inlineStr">
        <is>
          <t>สำนักวิชาอุตสาหกรรมเกษตร</t>
        </is>
      </c>
      <c r="C7" s="554" t="inlineStr">
        <is>
          <t>01100</t>
        </is>
      </c>
      <c r="D7" s="555" t="inlineStr">
        <is>
          <t>งานจัดการศึกษาสำนักวิชา</t>
        </is>
      </c>
      <c r="E7" s="554" t="inlineStr">
        <is>
          <t>202000</t>
        </is>
      </c>
      <c r="F7" s="555" t="inlineStr">
        <is>
          <t>กองทุนเพื่อการศึกษา</t>
        </is>
      </c>
    </row>
    <row r="8">
      <c r="A8" s="554" t="inlineStr">
        <is>
          <t>11160000</t>
        </is>
      </c>
      <c r="B8" s="555" t="inlineStr">
        <is>
          <t>สำนักวิชานิติศาสตร์</t>
        </is>
      </c>
      <c r="C8" s="554" t="inlineStr">
        <is>
          <t>01100</t>
        </is>
      </c>
      <c r="D8" s="555" t="inlineStr">
        <is>
          <t>งานจัดการศึกษาสำนักวิชา</t>
        </is>
      </c>
      <c r="E8" s="554" t="inlineStr">
        <is>
          <t>202000</t>
        </is>
      </c>
      <c r="F8" s="555" t="inlineStr">
        <is>
          <t>กองทุนเพื่อการศึกษา</t>
        </is>
      </c>
    </row>
    <row r="9">
      <c r="A9" s="554" t="inlineStr">
        <is>
          <t>11170000</t>
        </is>
      </c>
      <c r="B9" s="555" t="inlineStr">
        <is>
          <t>สำนักวิชาวิทยาศาสตร์เครื่องสำอาง</t>
        </is>
      </c>
      <c r="C9" s="554" t="inlineStr">
        <is>
          <t>01100</t>
        </is>
      </c>
      <c r="D9" s="555" t="inlineStr">
        <is>
          <t>งานจัดการศึกษาสำนักวิชา</t>
        </is>
      </c>
      <c r="E9" s="554" t="inlineStr">
        <is>
          <t>202000</t>
        </is>
      </c>
      <c r="F9" s="555" t="inlineStr">
        <is>
          <t>กองทุนเพื่อการศึกษา</t>
        </is>
      </c>
    </row>
    <row r="10">
      <c r="A10" s="554" t="inlineStr">
        <is>
          <t>11180000</t>
        </is>
      </c>
      <c r="B10" s="555" t="inlineStr">
        <is>
          <t>สำนักวิชาวิทยาศาสตร์สุขภาพ</t>
        </is>
      </c>
      <c r="C10" s="554" t="inlineStr">
        <is>
          <t>01100</t>
        </is>
      </c>
      <c r="D10" s="555" t="inlineStr">
        <is>
          <t>งานจัดการศึกษาสำนักวิชา</t>
        </is>
      </c>
      <c r="E10" s="554" t="inlineStr">
        <is>
          <t>202000</t>
        </is>
      </c>
      <c r="F10" s="555" t="inlineStr">
        <is>
          <t>กองทุนเพื่อการศึกษา</t>
        </is>
      </c>
    </row>
    <row r="11">
      <c r="A11" s="554" t="inlineStr">
        <is>
          <t>11190000</t>
        </is>
      </c>
      <c r="B11" s="555" t="inlineStr">
        <is>
          <t>สำนักวิชาพยาบาลศาสตร์</t>
        </is>
      </c>
      <c r="C11" s="554" t="inlineStr">
        <is>
          <t>01100</t>
        </is>
      </c>
      <c r="D11" s="555" t="inlineStr">
        <is>
          <t>งานจัดการศึกษาสำนักวิชา</t>
        </is>
      </c>
      <c r="E11" s="554" t="inlineStr">
        <is>
          <t>202000</t>
        </is>
      </c>
      <c r="F11" s="555" t="inlineStr">
        <is>
          <t>กองทุนเพื่อการศึกษา</t>
        </is>
      </c>
    </row>
    <row r="12">
      <c r="A12" s="554" t="inlineStr">
        <is>
          <t>11200000</t>
        </is>
      </c>
      <c r="B12" s="555" t="inlineStr">
        <is>
          <t>สำนักวิชาเวชศาสตร์ชะลอวัยและฟื้นฟูสุขภาพ</t>
        </is>
      </c>
      <c r="C12" s="554" t="inlineStr">
        <is>
          <t>01100</t>
        </is>
      </c>
      <c r="D12" s="555" t="inlineStr">
        <is>
          <t>งานจัดการศึกษาสำนักวิชา</t>
        </is>
      </c>
      <c r="E12" s="554" t="inlineStr">
        <is>
          <t>202000</t>
        </is>
      </c>
      <c r="F12" s="555" t="inlineStr">
        <is>
          <t>กองทุนเพื่อการศึกษา</t>
        </is>
      </c>
    </row>
    <row r="13">
      <c r="A13" s="554" t="inlineStr">
        <is>
          <t>11210000</t>
        </is>
      </c>
      <c r="B13" s="555" t="inlineStr">
        <is>
          <t>สำนักวิชาแพทยศาสตร์</t>
        </is>
      </c>
      <c r="C13" s="554" t="inlineStr">
        <is>
          <t>01100</t>
        </is>
      </c>
      <c r="D13" s="555" t="inlineStr">
        <is>
          <t>งานจัดการศึกษาสำนักวิชา</t>
        </is>
      </c>
      <c r="E13" s="554" t="inlineStr">
        <is>
          <t>202000</t>
        </is>
      </c>
      <c r="F13" s="555" t="inlineStr">
        <is>
          <t>กองทุนเพื่อการศึกษา</t>
        </is>
      </c>
    </row>
    <row r="14">
      <c r="A14" s="554" t="inlineStr">
        <is>
          <t>11220000</t>
        </is>
      </c>
      <c r="B14" s="555" t="inlineStr">
        <is>
          <t>สำนักวิชาทันตแพทยศาสตร์</t>
        </is>
      </c>
      <c r="C14" s="554" t="inlineStr">
        <is>
          <t>01100</t>
        </is>
      </c>
      <c r="D14" s="555" t="inlineStr">
        <is>
          <t>งานจัดการศึกษาสำนักวิชา</t>
        </is>
      </c>
      <c r="E14" s="554" t="inlineStr">
        <is>
          <t>202000</t>
        </is>
      </c>
      <c r="F14" s="555" t="inlineStr">
        <is>
          <t>กองทุนเพื่อการศึกษา</t>
        </is>
      </c>
    </row>
    <row r="15">
      <c r="A15" s="554" t="inlineStr">
        <is>
          <t>11220001</t>
        </is>
      </c>
      <c r="B15" s="555" t="inlineStr">
        <is>
          <t>คลินิกทันตกรรม</t>
        </is>
      </c>
      <c r="C15" s="554" t="inlineStr">
        <is>
          <t>07700</t>
        </is>
      </c>
      <c r="D15" s="555" t="inlineStr">
        <is>
          <t>งานให้บริการรักษาพยาบาลและส่งเสริมสุขภาพเพื่อการศึกษาและวิจัย</t>
        </is>
      </c>
      <c r="E15" s="554" t="inlineStr">
        <is>
          <t>207002</t>
        </is>
      </c>
      <c r="F15" s="555" t="inlineStr">
        <is>
          <t>กองทุนบริการสุขภาพแก่สังคม</t>
        </is>
      </c>
    </row>
    <row r="16">
      <c r="A16" s="554" t="inlineStr">
        <is>
          <t>19189001</t>
        </is>
      </c>
      <c r="B16" s="555" t="inlineStr">
        <is>
          <t>โครงการทันตกรรมบรมราชชนนี</t>
        </is>
      </c>
      <c r="C16" s="554" t="inlineStr">
        <is>
          <t>07700</t>
        </is>
      </c>
      <c r="D16" s="555" t="inlineStr">
        <is>
          <t>งานให้บริการรักษาพยาบาลและส่งเสริมสุขภาพเพื่อการศึกษาและวิจัย</t>
        </is>
      </c>
      <c r="E16" s="554" t="inlineStr">
        <is>
          <t>207002</t>
        </is>
      </c>
      <c r="F16" s="555" t="inlineStr">
        <is>
          <t>กองทุนบริการสุขภาพแก่สังคม</t>
        </is>
      </c>
    </row>
    <row r="17">
      <c r="A17" s="554" t="inlineStr">
        <is>
          <t>11230000</t>
        </is>
      </c>
      <c r="B17" s="555" t="inlineStr">
        <is>
          <t>สำนักวิชานวัตกรรมสังคม</t>
        </is>
      </c>
      <c r="C17" s="554" t="inlineStr">
        <is>
          <t>01100</t>
        </is>
      </c>
      <c r="D17" s="555" t="inlineStr">
        <is>
          <t>งานจัดการศึกษาสำนักวิชา</t>
        </is>
      </c>
      <c r="E17" s="554" t="inlineStr">
        <is>
          <t>202000</t>
        </is>
      </c>
      <c r="F17" s="555" t="inlineStr">
        <is>
          <t>กองทุนเพื่อการศึกษา</t>
        </is>
      </c>
    </row>
    <row r="18">
      <c r="A18" s="554" t="inlineStr">
        <is>
          <t>11230001</t>
        </is>
      </c>
      <c r="B18" s="555" t="inlineStr">
        <is>
          <t>ศูนย์วิจัยนวัตกรรมสังคมเชิงพื้นที่</t>
        </is>
      </c>
      <c r="C18" s="554" t="inlineStr">
        <is>
          <t>02202</t>
        </is>
      </c>
      <c r="D18" s="555" t="inlineStr">
        <is>
          <t>หน่วยวิจัยเฉพาะทาง</t>
        </is>
      </c>
      <c r="E18" s="554" t="inlineStr">
        <is>
          <t>203000</t>
        </is>
      </c>
      <c r="F18" s="555" t="inlineStr">
        <is>
          <t>กองทุนวิจัย</t>
        </is>
      </c>
    </row>
    <row r="19">
      <c r="A19" s="554" t="inlineStr">
        <is>
          <t>11230002</t>
        </is>
      </c>
      <c r="B19" s="555" t="inlineStr">
        <is>
          <t>ศูนย์วิจัยเอเชียเพื่อการพัฒนาระหว่างประเทศ</t>
        </is>
      </c>
      <c r="C19" s="554" t="inlineStr">
        <is>
          <t>02202</t>
        </is>
      </c>
      <c r="D19" s="555" t="inlineStr">
        <is>
          <t>หน่วยวิจัยเฉพาะทาง</t>
        </is>
      </c>
      <c r="E19" s="554" t="inlineStr">
        <is>
          <t>203000</t>
        </is>
      </c>
      <c r="F19" s="555" t="inlineStr">
        <is>
          <t>กองทุนวิจัย</t>
        </is>
      </c>
    </row>
    <row r="20">
      <c r="A20" s="554" t="inlineStr">
        <is>
          <t>11240000</t>
        </is>
      </c>
      <c r="B20" s="555" t="inlineStr">
        <is>
          <t>สำนักวิชาจีนวิทยา</t>
        </is>
      </c>
      <c r="C20" s="554" t="inlineStr">
        <is>
          <t>01100</t>
        </is>
      </c>
      <c r="D20" s="555" t="inlineStr">
        <is>
          <t>งานจัดการศึกษาสำนักวิชา</t>
        </is>
      </c>
      <c r="E20" s="554" t="inlineStr">
        <is>
          <t>202000</t>
        </is>
      </c>
      <c r="F20" s="555" t="inlineStr">
        <is>
          <t>กองทุนเพื่อการศึกษา</t>
        </is>
      </c>
    </row>
    <row r="21">
      <c r="A21" s="554" t="inlineStr">
        <is>
          <t>11250000</t>
        </is>
      </c>
      <c r="B21" s="555" t="inlineStr">
        <is>
          <t>สำนักวิชาการแพทย์บูรณาการ</t>
        </is>
      </c>
      <c r="C21" s="554" t="inlineStr">
        <is>
          <t>01100</t>
        </is>
      </c>
      <c r="D21" s="555" t="inlineStr">
        <is>
          <t>งานจัดการศึกษาสำนักวิชา</t>
        </is>
      </c>
      <c r="E21" s="554" t="inlineStr">
        <is>
          <t>202000</t>
        </is>
      </c>
      <c r="F21" s="555" t="inlineStr">
        <is>
          <t>กองทุนเพื่อการศึกษา</t>
        </is>
      </c>
    </row>
    <row r="22">
      <c r="A22" s="550" t="n"/>
      <c r="B22" s="551" t="inlineStr">
        <is>
          <t>#กลุ่มศูนย์</t>
        </is>
      </c>
      <c r="C22" s="550" t="n"/>
      <c r="D22" s="550" t="n"/>
      <c r="E22" s="550" t="n"/>
      <c r="F22" s="550" t="n"/>
    </row>
    <row r="23">
      <c r="A23" s="554" t="inlineStr">
        <is>
          <t>11600000</t>
        </is>
      </c>
      <c r="B23" s="555" t="inlineStr">
        <is>
          <t>ศูนย์บริการเทคโนโลยีสารสนเทศ</t>
        </is>
      </c>
      <c r="C23" s="554" t="inlineStr">
        <is>
          <t>05503</t>
        </is>
      </c>
      <c r="D23" s="555" t="inlineStr">
        <is>
          <t>งานบริการเทคโนโลยีสารสนเทศ</t>
        </is>
      </c>
      <c r="E23" s="554" t="inlineStr">
        <is>
          <t>202000</t>
        </is>
      </c>
      <c r="F23" s="555" t="inlineStr">
        <is>
          <t>กองทุนเพื่อการศึกษา</t>
        </is>
      </c>
    </row>
    <row r="24">
      <c r="A24" s="554" t="inlineStr">
        <is>
          <t>11610000</t>
        </is>
      </c>
      <c r="B24" s="555" t="inlineStr">
        <is>
          <t>ศูนย์เครื่องมือวิทยาศาสตร์และเทคโนโลยี</t>
        </is>
      </c>
      <c r="C24" s="554" t="inlineStr">
        <is>
          <t>05501</t>
        </is>
      </c>
      <c r="D24" s="555" t="inlineStr">
        <is>
          <t>งานบริการเครื่องมือวิทยาศาสตร์และเทคโนโลยี</t>
        </is>
      </c>
      <c r="E24" s="554" t="inlineStr">
        <is>
          <t>202000</t>
        </is>
      </c>
      <c r="F24" s="555" t="inlineStr">
        <is>
          <t>กองทุนเพื่อการศึกษา</t>
        </is>
      </c>
    </row>
    <row r="25">
      <c r="A25" s="554" t="inlineStr">
        <is>
          <t>11620000</t>
        </is>
      </c>
      <c r="B25" s="555" t="inlineStr">
        <is>
          <t>ศูนย์บรรณสารและสื่อการศึกษา</t>
        </is>
      </c>
      <c r="C25" s="554" t="inlineStr">
        <is>
          <t>05502</t>
        </is>
      </c>
      <c r="D25" s="555" t="inlineStr">
        <is>
          <t>งานบริการห้องสมุดและสื่อการศึกษา</t>
        </is>
      </c>
      <c r="E25" s="554" t="inlineStr">
        <is>
          <t>202000</t>
        </is>
      </c>
      <c r="F25" s="555" t="inlineStr">
        <is>
          <t>กองทุนเพื่อการศึกษา</t>
        </is>
      </c>
    </row>
    <row r="26">
      <c r="A26" s="554" t="inlineStr">
        <is>
          <t>11640000</t>
        </is>
      </c>
      <c r="B26" s="555" t="inlineStr">
        <is>
          <t>ศูนย์บริการวิชาการ</t>
        </is>
      </c>
      <c r="C26" s="554" t="inlineStr">
        <is>
          <t>03301</t>
        </is>
      </c>
      <c r="D26" s="555" t="inlineStr">
        <is>
          <t>งานบริการวิชาการแก่สังคม</t>
        </is>
      </c>
      <c r="E26" s="554" t="inlineStr">
        <is>
          <t>204000</t>
        </is>
      </c>
      <c r="F26" s="555" t="inlineStr">
        <is>
          <t>กองทุนบริการวิชาการแก่สังคม</t>
        </is>
      </c>
    </row>
    <row r="27">
      <c r="A27" s="554" t="inlineStr">
        <is>
          <t>11407001</t>
        </is>
      </c>
      <c r="B27" s="555" t="inlineStr">
        <is>
          <t>สถาบันอนุรักษ์ พัฒนาทรัพยากรธรรมชาติและสิ่งแวดล้อม เพื่อความยั่งยืน</t>
        </is>
      </c>
      <c r="C27" s="554" t="inlineStr">
        <is>
          <t>06601</t>
        </is>
      </c>
      <c r="D27" s="555" t="inlineStr">
        <is>
          <t>งานบริหารทั่วไป</t>
        </is>
      </c>
      <c r="E27" s="554" t="inlineStr">
        <is>
          <t>201000</t>
        </is>
      </c>
      <c r="F27" s="555" t="inlineStr">
        <is>
          <t>กองทุนทั่วไป</t>
        </is>
      </c>
    </row>
    <row r="28">
      <c r="A28" s="554" t="inlineStr">
        <is>
          <t>11870000</t>
        </is>
      </c>
      <c r="B28" s="555" t="inlineStr">
        <is>
          <t>โรงพยาบาลศูนย์การแพทย์มหาวิทยาลัยแม่ฟ้าหลวง</t>
        </is>
      </c>
      <c r="C28" s="553" t="n"/>
      <c r="D28" s="553" t="n"/>
      <c r="E28" s="553" t="n"/>
      <c r="F28" s="553" t="n"/>
    </row>
    <row r="29">
      <c r="A29" s="550" t="n"/>
      <c r="B29" s="551" t="inlineStr">
        <is>
          <t>#กลุ่มสถาบัน</t>
        </is>
      </c>
      <c r="C29" s="550" t="n"/>
      <c r="D29" s="550" t="n"/>
      <c r="E29" s="550" t="n"/>
      <c r="F29" s="550" t="n"/>
    </row>
    <row r="30">
      <c r="A30" s="554" t="inlineStr">
        <is>
          <t>11890000</t>
        </is>
      </c>
      <c r="B30" s="555" t="inlineStr">
        <is>
          <t>สถาบันวิจัยและนวัตกรรม มหาวิทยาลัยแม่ฟ้าหลวง</t>
        </is>
      </c>
      <c r="C30" s="554" t="inlineStr">
        <is>
          <t>01102</t>
        </is>
      </c>
      <c r="D30" s="555" t="inlineStr">
        <is>
          <t>งานสนับสนุนการจัดการศึกษา</t>
        </is>
      </c>
      <c r="E30" s="554" t="inlineStr">
        <is>
          <t>203000</t>
        </is>
      </c>
      <c r="F30" s="555" t="inlineStr">
        <is>
          <t>กองทุนวิจัย</t>
        </is>
      </c>
    </row>
    <row r="31">
      <c r="A31" s="554" t="inlineStr">
        <is>
          <t>11412000</t>
        </is>
      </c>
      <c r="B31" s="555" t="inlineStr">
        <is>
          <t>ส่วนบริหารงานวิจัย</t>
        </is>
      </c>
      <c r="C31" s="554" t="inlineStr">
        <is>
          <t>02201</t>
        </is>
      </c>
      <c r="D31" s="555" t="inlineStr">
        <is>
          <t>งานวิจัย พัฒนาและถ่ายทอดเทคโนโลยี</t>
        </is>
      </c>
      <c r="E31" s="554" t="inlineStr">
        <is>
          <t>203000</t>
        </is>
      </c>
      <c r="F31" s="555" t="inlineStr">
        <is>
          <t>กองทุนวิจัย</t>
        </is>
      </c>
    </row>
    <row r="32">
      <c r="A32" s="554" t="inlineStr">
        <is>
          <t>11411100</t>
        </is>
      </c>
      <c r="B32" s="555" t="inlineStr">
        <is>
          <t>ส่วนจัดการทรัพย์สินทางปัญญาและนวัตกรรม</t>
        </is>
      </c>
      <c r="C32" s="554" t="inlineStr">
        <is>
          <t>02202</t>
        </is>
      </c>
      <c r="D32" s="555" t="inlineStr">
        <is>
          <t>หน่วยวิจัยเฉพาะทาง</t>
        </is>
      </c>
      <c r="E32" s="554" t="inlineStr">
        <is>
          <t>203000</t>
        </is>
      </c>
      <c r="F32" s="555" t="inlineStr">
        <is>
          <t>กองทุนวิจัย</t>
        </is>
      </c>
    </row>
    <row r="33">
      <c r="A33" s="554" t="inlineStr">
        <is>
          <t>11820000</t>
        </is>
      </c>
      <c r="B33" s="555" t="inlineStr">
        <is>
          <t>สถาบันศิลปวัฒนธรรมและอารยธรรมลุ่มน้ำโขง</t>
        </is>
      </c>
      <c r="C33" s="554" t="inlineStr">
        <is>
          <t>04401</t>
        </is>
      </c>
      <c r="D33" s="555" t="inlineStr">
        <is>
          <t>งานทำนุบำรุง ศิลปวัฒนธรรมและสิ่งแวดล้อม</t>
        </is>
      </c>
      <c r="E33" s="554" t="inlineStr">
        <is>
          <t>204000</t>
        </is>
      </c>
      <c r="F33" s="555" t="inlineStr">
        <is>
          <t>กองทุนบริการวิชาการแก่สังคม</t>
        </is>
      </c>
    </row>
    <row r="34">
      <c r="A34" s="554" t="inlineStr">
        <is>
          <t>11710000</t>
        </is>
      </c>
      <c r="B34" s="555" t="inlineStr">
        <is>
          <t>สถาบันนวัตกรรมการเรียนรู้มหาวิทยาลัยแม่ฟ้าหลวง</t>
        </is>
      </c>
      <c r="C34" s="554" t="inlineStr">
        <is>
          <t>01102</t>
        </is>
      </c>
      <c r="D34" s="555" t="inlineStr">
        <is>
          <t>งานสนับสนุนการจัดการศึกษา</t>
        </is>
      </c>
      <c r="E34" s="554" t="inlineStr">
        <is>
          <t>202000</t>
        </is>
      </c>
      <c r="F34" s="555" t="inlineStr">
        <is>
          <t>กองทุนเพื่อการศึกษา</t>
        </is>
      </c>
    </row>
    <row r="35">
      <c r="A35" s="550" t="n"/>
      <c r="B35" s="551" t="inlineStr">
        <is>
          <t>#กลุ่มสำนักงานวิชาการ</t>
        </is>
      </c>
      <c r="C35" s="550" t="n"/>
      <c r="D35" s="550" t="n"/>
      <c r="E35" s="550" t="n"/>
      <c r="F35" s="550" t="n"/>
    </row>
    <row r="36">
      <c r="A36" s="554" t="inlineStr">
        <is>
          <t>11411000</t>
        </is>
      </c>
      <c r="B36" s="555" t="inlineStr">
        <is>
          <t>ส่วนทะเบียนและประมวลผล</t>
        </is>
      </c>
      <c r="C36" s="554" t="inlineStr">
        <is>
          <t>01102</t>
        </is>
      </c>
      <c r="D36" s="555" t="inlineStr">
        <is>
          <t>งานสนับสนุนการจัดการศึกษา</t>
        </is>
      </c>
      <c r="E36" s="554" t="inlineStr">
        <is>
          <t>202000</t>
        </is>
      </c>
      <c r="F36" s="555" t="inlineStr">
        <is>
          <t>กองทุนเพื่อการศึกษา</t>
        </is>
      </c>
    </row>
    <row r="37">
      <c r="A37" s="554" t="inlineStr">
        <is>
          <t>11413000</t>
        </is>
      </c>
      <c r="B37" s="555" t="inlineStr">
        <is>
          <t>ส่วนพัฒนานักศึกษา</t>
        </is>
      </c>
      <c r="C37" s="554" t="inlineStr">
        <is>
          <t>01102</t>
        </is>
      </c>
      <c r="D37" s="555" t="inlineStr">
        <is>
          <t>งานสนับสนุนการจัดการศึกษา</t>
        </is>
      </c>
      <c r="E37" s="554" t="inlineStr">
        <is>
          <t>206000</t>
        </is>
      </c>
      <c r="F37" s="555" t="inlineStr">
        <is>
          <t>กองทุนกิจกรรมนักศึกษา</t>
        </is>
      </c>
    </row>
    <row r="38">
      <c r="A38" s="554" t="inlineStr">
        <is>
          <t>11414000</t>
        </is>
      </c>
      <c r="B38" s="555" t="inlineStr">
        <is>
          <t>ส่วนพัฒนาความสัมพันธ์ระหว่างประเทศ</t>
        </is>
      </c>
      <c r="C38" s="554" t="inlineStr">
        <is>
          <t>01104</t>
        </is>
      </c>
      <c r="D38" s="555" t="inlineStr">
        <is>
          <t>งานพัฒนาความสัมพันธ์ระหว่างประเทศ</t>
        </is>
      </c>
      <c r="E38" s="554" t="inlineStr">
        <is>
          <t>202000</t>
        </is>
      </c>
      <c r="F38" s="555" t="inlineStr">
        <is>
          <t>กองทุนเพื่อการศึกษา</t>
        </is>
      </c>
    </row>
    <row r="39">
      <c r="A39" s="554" t="inlineStr">
        <is>
          <t>11415000</t>
        </is>
      </c>
      <c r="B39" s="555" t="inlineStr">
        <is>
          <t>ส่วนประกันคุณภาพการศึกษาและพัฒนาหลักสูตร</t>
        </is>
      </c>
      <c r="C39" s="554" t="inlineStr">
        <is>
          <t>01102</t>
        </is>
      </c>
      <c r="D39" s="555" t="inlineStr">
        <is>
          <t>งานสนับสนุนการจัดการศึกษา</t>
        </is>
      </c>
      <c r="E39" s="554" t="inlineStr">
        <is>
          <t>202000</t>
        </is>
      </c>
      <c r="F39" s="555" t="inlineStr">
        <is>
          <t>กองทุนเพื่อการศึกษา</t>
        </is>
      </c>
    </row>
    <row r="40">
      <c r="A40" s="554" t="inlineStr">
        <is>
          <t>11416000</t>
        </is>
      </c>
      <c r="B40" s="555" t="inlineStr">
        <is>
          <t>สำนักงานบัณฑิตศึกษา</t>
        </is>
      </c>
      <c r="C40" s="554" t="inlineStr">
        <is>
          <t>01103</t>
        </is>
      </c>
      <c r="D40" s="555" t="inlineStr">
        <is>
          <t>งานบริหารและจัดการหลักสูตรพิเศษ</t>
        </is>
      </c>
      <c r="E40" s="554" t="inlineStr">
        <is>
          <t>202000</t>
        </is>
      </c>
      <c r="F40" s="555" t="inlineStr">
        <is>
          <t>กองทุนเพื่อการศึกษา</t>
        </is>
      </c>
    </row>
    <row r="41">
      <c r="A41" s="554" t="inlineStr">
        <is>
          <t>11417000</t>
        </is>
      </c>
      <c r="B41" s="555" t="inlineStr">
        <is>
          <t>ส่วนจัดหางานและฝึกงานของนักศึกษา</t>
        </is>
      </c>
      <c r="C41" s="554" t="inlineStr">
        <is>
          <t>01102</t>
        </is>
      </c>
      <c r="D41" s="555" t="inlineStr">
        <is>
          <t>งานสนับสนุนการจัดการศึกษา</t>
        </is>
      </c>
      <c r="E41" s="554" t="inlineStr">
        <is>
          <t>202000</t>
        </is>
      </c>
      <c r="F41" s="555" t="inlineStr">
        <is>
          <t>กองทุนเพื่อการศึกษา</t>
        </is>
      </c>
    </row>
    <row r="42">
      <c r="A42" s="554" t="inlineStr">
        <is>
          <t>11413300</t>
        </is>
      </c>
      <c r="B42" s="555" t="inlineStr">
        <is>
          <t>สำนักงานให้คำปรึกษาและช่วยเหลือนักศึกษา</t>
        </is>
      </c>
      <c r="C42" s="554" t="inlineStr">
        <is>
          <t>01102</t>
        </is>
      </c>
      <c r="D42" s="555" t="inlineStr">
        <is>
          <t>งานสนับสนุนการจัดการศึกษา</t>
        </is>
      </c>
      <c r="E42" s="554" t="inlineStr">
        <is>
          <t>206000</t>
        </is>
      </c>
      <c r="F42" s="555" t="inlineStr">
        <is>
          <t>กองทุนกิจกรรมนักศึกษา</t>
        </is>
      </c>
    </row>
    <row r="43">
      <c r="A43" s="554" t="inlineStr">
        <is>
          <t>11413200</t>
        </is>
      </c>
      <c r="B43" s="555" t="inlineStr">
        <is>
          <t>ศูนย์กีฬามหาวิทยาลัยแม่ฟ้าหลวง</t>
        </is>
      </c>
      <c r="C43" s="554" t="inlineStr">
        <is>
          <t>01102</t>
        </is>
      </c>
      <c r="D43" s="555" t="inlineStr">
        <is>
          <t>งานสนับสนุนการจัดการศึกษา</t>
        </is>
      </c>
      <c r="E43" s="554" t="inlineStr">
        <is>
          <t>202000</t>
        </is>
      </c>
      <c r="F43" s="555" t="inlineStr">
        <is>
          <t>กองทุนเพื่อการศึกษา</t>
        </is>
      </c>
    </row>
    <row r="44">
      <c r="A44" s="554" t="inlineStr">
        <is>
          <t>11418000</t>
        </is>
      </c>
      <c r="B44" s="555" t="inlineStr">
        <is>
          <t>สถาบันชาและกาแฟ แห่งมหาวิทยาลัยแม่ฟ้าหลวง</t>
        </is>
      </c>
      <c r="C44" s="554" t="inlineStr">
        <is>
          <t>02202</t>
        </is>
      </c>
      <c r="D44" s="555" t="inlineStr">
        <is>
          <t>หน่วยวิจัยเฉพาะทาง</t>
        </is>
      </c>
      <c r="E44" s="554" t="inlineStr">
        <is>
          <t>203000</t>
        </is>
      </c>
      <c r="F44" s="555" t="inlineStr">
        <is>
          <t>กองทุนวิจัย</t>
        </is>
      </c>
    </row>
    <row r="45">
      <c r="A45" s="554" t="inlineStr">
        <is>
          <t>11180008</t>
        </is>
      </c>
      <c r="B45" s="555" t="inlineStr">
        <is>
          <t>ศูนย์นวัตกรรมสมุนไพรครบวงจร มหาวิทยาลัยแม่ฟ้าหลวง</t>
        </is>
      </c>
      <c r="C45" s="554" t="inlineStr">
        <is>
          <t>02202</t>
        </is>
      </c>
      <c r="D45" s="555" t="inlineStr">
        <is>
          <t>หน่วยวิจัยเฉพาะทาง</t>
        </is>
      </c>
      <c r="E45" s="554" t="inlineStr">
        <is>
          <t>203000</t>
        </is>
      </c>
      <c r="F45" s="555" t="inlineStr">
        <is>
          <t>กองทุนวิจัย</t>
        </is>
      </c>
    </row>
    <row r="46">
      <c r="A46" s="554" t="inlineStr">
        <is>
          <t>11860000</t>
        </is>
      </c>
      <c r="B46" s="555" t="inlineStr">
        <is>
          <t>โครงการจัดตั้งศูนย์ส่งเสริมและพัฒนาธุรกิจ SMEs เครื่องสำอางไทย มหาวิทยาลัยแม่ฟ้าหลวง</t>
        </is>
      </c>
      <c r="C46" s="554" t="inlineStr">
        <is>
          <t>02201</t>
        </is>
      </c>
      <c r="D46" s="555" t="inlineStr">
        <is>
          <t>งานวิจัย พัฒนาและถ่ายทอดเทคโนโลยี</t>
        </is>
      </c>
      <c r="E46" s="554" t="inlineStr">
        <is>
          <t>203000</t>
        </is>
      </c>
      <c r="F46" s="555" t="inlineStr">
        <is>
          <t>กองทุนวิจัย</t>
        </is>
      </c>
    </row>
    <row r="47">
      <c r="A47" s="554" t="inlineStr">
        <is>
          <t>11420000</t>
        </is>
      </c>
      <c r="B47" s="555" t="inlineStr">
        <is>
          <t>วนาศรม</t>
        </is>
      </c>
      <c r="C47" s="554" t="inlineStr">
        <is>
          <t>01102</t>
        </is>
      </c>
      <c r="D47" s="555" t="inlineStr">
        <is>
          <t>งานสนับสนุนการจัดการศึกษา</t>
        </is>
      </c>
      <c r="E47" s="554" t="inlineStr">
        <is>
          <t>202000</t>
        </is>
      </c>
      <c r="F47" s="555" t="inlineStr">
        <is>
          <t>กองทุนเพื่อการศึกษา</t>
        </is>
      </c>
    </row>
    <row r="48">
      <c r="A48" s="550" t="n"/>
      <c r="B48" s="551" t="inlineStr">
        <is>
          <t>#กลุ่มสำนักงานบริหารกลาง</t>
        </is>
      </c>
      <c r="C48" s="550" t="n"/>
      <c r="D48" s="550" t="n"/>
      <c r="E48" s="550" t="n"/>
      <c r="F48" s="550" t="n"/>
    </row>
    <row r="49">
      <c r="A49" s="554" t="inlineStr">
        <is>
          <t>19990000</t>
        </is>
      </c>
      <c r="B49" s="555" t="inlineStr">
        <is>
          <t>สำนักงานบริหารกลาง</t>
        </is>
      </c>
      <c r="C49" s="554" t="inlineStr">
        <is>
          <t>06601</t>
        </is>
      </c>
      <c r="D49" s="555" t="inlineStr">
        <is>
          <t>งานบริหารทั่วไป</t>
        </is>
      </c>
      <c r="E49" s="554" t="inlineStr">
        <is>
          <t>201000</t>
        </is>
      </c>
      <c r="F49" s="555" t="inlineStr">
        <is>
          <t>กองทุนทั่วไป</t>
        </is>
      </c>
    </row>
    <row r="50">
      <c r="A50" s="554" t="inlineStr">
        <is>
          <t>11401000</t>
        </is>
      </c>
      <c r="B50" s="555" t="inlineStr">
        <is>
          <t>ส่วนสารบรรณและอำนวยการ</t>
        </is>
      </c>
      <c r="C50" s="554" t="inlineStr">
        <is>
          <t>06601</t>
        </is>
      </c>
      <c r="D50" s="555" t="inlineStr">
        <is>
          <t>งานบริหารทั่วไป</t>
        </is>
      </c>
      <c r="E50" s="554" t="inlineStr">
        <is>
          <t>201000</t>
        </is>
      </c>
      <c r="F50" s="555" t="inlineStr">
        <is>
          <t>กองทุนทั่วไป</t>
        </is>
      </c>
    </row>
    <row r="51">
      <c r="A51" s="554" t="inlineStr">
        <is>
          <t>11401100</t>
        </is>
      </c>
      <c r="B51" s="555" t="inlineStr">
        <is>
          <t>ส่วนนิติการ</t>
        </is>
      </c>
      <c r="C51" s="554" t="inlineStr">
        <is>
          <t>06601</t>
        </is>
      </c>
      <c r="D51" s="555" t="inlineStr">
        <is>
          <t>งานบริหารทั่วไป</t>
        </is>
      </c>
      <c r="E51" s="554" t="inlineStr">
        <is>
          <t>201000</t>
        </is>
      </c>
      <c r="F51" s="555" t="inlineStr">
        <is>
          <t>กองทุนทั่วไป</t>
        </is>
      </c>
    </row>
    <row r="52">
      <c r="A52" s="554" t="inlineStr">
        <is>
          <t>11402000</t>
        </is>
      </c>
      <c r="B52" s="555" t="inlineStr">
        <is>
          <t>ส่วนการเจ้าหน้าที่</t>
        </is>
      </c>
      <c r="C52" s="554" t="inlineStr">
        <is>
          <t>06601</t>
        </is>
      </c>
      <c r="D52" s="555" t="inlineStr">
        <is>
          <t>งานบริหารทั่วไป</t>
        </is>
      </c>
      <c r="E52" s="554" t="inlineStr">
        <is>
          <t>201000</t>
        </is>
      </c>
      <c r="F52" s="555" t="inlineStr">
        <is>
          <t>กองทุนทั่วไป</t>
        </is>
      </c>
    </row>
    <row r="53">
      <c r="A53" s="554" t="inlineStr">
        <is>
          <t>11403000</t>
        </is>
      </c>
      <c r="B53" s="555" t="inlineStr">
        <is>
          <t>ส่วนนโยบายและแผน</t>
        </is>
      </c>
      <c r="C53" s="554" t="inlineStr">
        <is>
          <t>06601</t>
        </is>
      </c>
      <c r="D53" s="555" t="inlineStr">
        <is>
          <t>งานบริหารทั่วไป</t>
        </is>
      </c>
      <c r="E53" s="554" t="inlineStr">
        <is>
          <t>201000</t>
        </is>
      </c>
      <c r="F53" s="555" t="inlineStr">
        <is>
          <t>กองทุนทั่วไป</t>
        </is>
      </c>
    </row>
    <row r="54">
      <c r="A54" s="554" t="inlineStr">
        <is>
          <t>11404000</t>
        </is>
      </c>
      <c r="B54" s="555" t="inlineStr">
        <is>
          <t>ส่วนการเงินและบัญชี</t>
        </is>
      </c>
      <c r="C54" s="554" t="inlineStr">
        <is>
          <t>06601</t>
        </is>
      </c>
      <c r="D54" s="555" t="inlineStr">
        <is>
          <t>งานบริหารทั่วไป</t>
        </is>
      </c>
      <c r="E54" s="554" t="inlineStr">
        <is>
          <t>201000</t>
        </is>
      </c>
      <c r="F54" s="555" t="inlineStr">
        <is>
          <t>กองทุนทั่วไป</t>
        </is>
      </c>
    </row>
    <row r="55">
      <c r="A55" s="554" t="inlineStr">
        <is>
          <t>11405000</t>
        </is>
      </c>
      <c r="B55" s="555" t="inlineStr">
        <is>
          <t>ส่วนพัสดุ</t>
        </is>
      </c>
      <c r="C55" s="554" t="inlineStr">
        <is>
          <t>06601</t>
        </is>
      </c>
      <c r="D55" s="555" t="inlineStr">
        <is>
          <t>งานบริหารทั่วไป</t>
        </is>
      </c>
      <c r="E55" s="554" t="inlineStr">
        <is>
          <t>201000</t>
        </is>
      </c>
      <c r="F55" s="555" t="inlineStr">
        <is>
          <t>กองทุนทั่วไป</t>
        </is>
      </c>
    </row>
    <row r="56">
      <c r="A56" s="554" t="inlineStr">
        <is>
          <t>11406000</t>
        </is>
      </c>
      <c r="B56" s="555" t="inlineStr">
        <is>
          <t>ส่วนประชาสัมพันธ์</t>
        </is>
      </c>
      <c r="C56" s="554" t="inlineStr">
        <is>
          <t>06601</t>
        </is>
      </c>
      <c r="D56" s="555" t="inlineStr">
        <is>
          <t>งานบริหารทั่วไป</t>
        </is>
      </c>
      <c r="E56" s="554" t="inlineStr">
        <is>
          <t>201000</t>
        </is>
      </c>
      <c r="F56" s="555" t="inlineStr">
        <is>
          <t>กองทุนทั่วไป</t>
        </is>
      </c>
    </row>
    <row r="57">
      <c r="A57" s="554" t="inlineStr">
        <is>
          <t>11407000</t>
        </is>
      </c>
      <c r="B57" s="555" t="inlineStr">
        <is>
          <t>ส่วนอาคารสถานที่</t>
        </is>
      </c>
      <c r="C57" s="554" t="inlineStr">
        <is>
          <t>06601</t>
        </is>
      </c>
      <c r="D57" s="555" t="inlineStr">
        <is>
          <t>งานบริหารทั่วไป</t>
        </is>
      </c>
      <c r="E57" s="554" t="inlineStr">
        <is>
          <t>201000</t>
        </is>
      </c>
      <c r="F57" s="555" t="inlineStr">
        <is>
          <t>กองทุนทั่วไป</t>
        </is>
      </c>
    </row>
    <row r="58">
      <c r="A58" s="554" t="inlineStr">
        <is>
          <t>11408000</t>
        </is>
      </c>
      <c r="B58" s="555" t="inlineStr">
        <is>
          <t>หน่วยประสานงานมหาวิทยาลัยแม่ฟ้าหลวง กรุงเทพมหานคร</t>
        </is>
      </c>
      <c r="C58" s="554" t="inlineStr">
        <is>
          <t>06601</t>
        </is>
      </c>
      <c r="D58" s="555" t="inlineStr">
        <is>
          <t>งานบริหารทั่วไป</t>
        </is>
      </c>
      <c r="E58" s="554" t="inlineStr">
        <is>
          <t>201000</t>
        </is>
      </c>
      <c r="F58" s="555" t="inlineStr">
        <is>
          <t>กองทุนทั่วไป</t>
        </is>
      </c>
    </row>
    <row r="59">
      <c r="A59" s="550" t="n"/>
      <c r="B59" s="551" t="inlineStr">
        <is>
          <t>#กลุ่มโครงการหน่วยงานพิเศษ</t>
        </is>
      </c>
      <c r="C59" s="550" t="n"/>
      <c r="D59" s="550" t="n"/>
      <c r="E59" s="550" t="n"/>
      <c r="F59" s="550" t="n"/>
    </row>
    <row r="60">
      <c r="A60" s="554" t="inlineStr">
        <is>
          <t>11617000</t>
        </is>
      </c>
      <c r="B60" s="555" t="inlineStr">
        <is>
          <t>ศูนย์ความเป็นเลิศทางด้านการวิจัยเชื้อรา</t>
        </is>
      </c>
      <c r="C60" s="554" t="inlineStr">
        <is>
          <t>02202</t>
        </is>
      </c>
      <c r="D60" s="555" t="inlineStr">
        <is>
          <t>หน่วยวิจัยเฉพาะทาง</t>
        </is>
      </c>
      <c r="E60" s="554" t="inlineStr">
        <is>
          <t>203000</t>
        </is>
      </c>
      <c r="F60" s="555" t="inlineStr">
        <is>
          <t>กองทุนวิจัย</t>
        </is>
      </c>
    </row>
    <row r="61">
      <c r="A61" s="554" t="inlineStr">
        <is>
          <t>11830000</t>
        </is>
      </c>
      <c r="B61" s="555" t="inlineStr">
        <is>
          <t>โครงการจัดตั้งหน่วยความร่วมมือทางวิชาการฝรั่งเศส-อนุภูมิภาคลุ่มแม่น้ำโขง</t>
        </is>
      </c>
      <c r="C61" s="554" t="inlineStr">
        <is>
          <t>01104</t>
        </is>
      </c>
      <c r="D61" s="555" t="inlineStr">
        <is>
          <t>งานพัฒนาความสัมพันธ์ระหว่างประเทศ</t>
        </is>
      </c>
      <c r="E61" s="554" t="inlineStr">
        <is>
          <t>204000</t>
        </is>
      </c>
      <c r="F61" s="555" t="inlineStr">
        <is>
          <t>กองทุนบริการวิชาการแก่สังคม</t>
        </is>
      </c>
    </row>
    <row r="62">
      <c r="A62" s="554" t="inlineStr">
        <is>
          <t>11180004</t>
        </is>
      </c>
      <c r="B62" s="555" t="inlineStr">
        <is>
          <t>ศูนย์ความเป็นเลิศด้านนวัตกรรมผลิตภัณฑ์ธรรมชาติ</t>
        </is>
      </c>
      <c r="C62" s="554" t="inlineStr">
        <is>
          <t>02202</t>
        </is>
      </c>
      <c r="D62" s="555" t="inlineStr">
        <is>
          <t>หน่วยวิจัยเฉพาะทาง</t>
        </is>
      </c>
      <c r="E62" s="554" t="inlineStr">
        <is>
          <t>203000</t>
        </is>
      </c>
      <c r="F62" s="555" t="inlineStr">
        <is>
          <t>กองทุนวิจัย</t>
        </is>
      </c>
    </row>
    <row r="63">
      <c r="A63" s="554" t="inlineStr">
        <is>
          <t>11810000</t>
        </is>
      </c>
      <c r="B63" s="555" t="inlineStr">
        <is>
          <t>ศูนย์ภาษาและวัฒนธรรมจีนสิรินธร</t>
        </is>
      </c>
      <c r="C63" s="554" t="inlineStr">
        <is>
          <t>03301</t>
        </is>
      </c>
      <c r="D63" s="555" t="inlineStr">
        <is>
          <t>งานบริการวิชาการแก่สังคม</t>
        </is>
      </c>
      <c r="E63" s="554" t="inlineStr">
        <is>
          <t>204000</t>
        </is>
      </c>
      <c r="F63" s="555" t="inlineStr">
        <is>
          <t>กองทุนบริการวิชาการแก่สังคม</t>
        </is>
      </c>
    </row>
    <row r="64">
      <c r="A64" s="554" t="inlineStr">
        <is>
          <t>11406001</t>
        </is>
      </c>
      <c r="B64" s="555" t="inlineStr">
        <is>
          <t>หน่วยจัดการสารสนเทศ</t>
        </is>
      </c>
      <c r="C64" s="554" t="inlineStr">
        <is>
          <t>06601</t>
        </is>
      </c>
      <c r="D64" s="555" t="inlineStr">
        <is>
          <t>งานบริหารทั่วไป</t>
        </is>
      </c>
      <c r="E64" s="554" t="inlineStr">
        <is>
          <t>201000</t>
        </is>
      </c>
      <c r="F64" s="555" t="inlineStr">
        <is>
          <t>กองทุนทั่วไป</t>
        </is>
      </c>
    </row>
    <row r="65">
      <c r="A65" s="550" t="n"/>
      <c r="B65" s="551" t="inlineStr">
        <is>
          <t>#อื่น ๆ</t>
        </is>
      </c>
      <c r="C65" s="550" t="n"/>
      <c r="D65" s="550" t="n"/>
      <c r="E65" s="550" t="n"/>
      <c r="F65" s="550" t="n"/>
    </row>
    <row r="66">
      <c r="A66" s="554" t="inlineStr">
        <is>
          <t>11409000</t>
        </is>
      </c>
      <c r="B66" s="555" t="inlineStr">
        <is>
          <t>สำนักงานจัดการทรัพย์สินและรายได้</t>
        </is>
      </c>
      <c r="C66" s="554" t="inlineStr">
        <is>
          <t>06602</t>
        </is>
      </c>
      <c r="D66" s="555" t="inlineStr">
        <is>
          <t>งานจัดหารายได้</t>
        </is>
      </c>
      <c r="E66" s="554" t="inlineStr">
        <is>
          <t>201000</t>
        </is>
      </c>
      <c r="F66" s="555" t="inlineStr">
        <is>
          <t>กองทุนทั่วไป</t>
        </is>
      </c>
    </row>
    <row r="67">
      <c r="A67" s="554" t="inlineStr">
        <is>
          <t>11401001</t>
        </is>
      </c>
      <c r="B67" s="555" t="inlineStr">
        <is>
          <t>สำนักงานสภามหาวิทยาลัยแม่ฟ้าหลวง</t>
        </is>
      </c>
      <c r="C67" s="554" t="inlineStr">
        <is>
          <t>06604</t>
        </is>
      </c>
      <c r="D67" s="555" t="inlineStr">
        <is>
          <t>งานกิจการสภามหาวิทยาลัย</t>
        </is>
      </c>
      <c r="E67" s="554" t="inlineStr">
        <is>
          <t>201000</t>
        </is>
      </c>
      <c r="F67" s="555" t="inlineStr">
        <is>
          <t>กองทุนทั่วไป</t>
        </is>
      </c>
    </row>
    <row r="68">
      <c r="A68" s="554" t="inlineStr">
        <is>
          <t>11800000</t>
        </is>
      </c>
      <c r="B68" s="555" t="inlineStr">
        <is>
          <t>หน่วยตรวจสอบภายใน</t>
        </is>
      </c>
      <c r="C68" s="554" t="inlineStr">
        <is>
          <t>06603</t>
        </is>
      </c>
      <c r="D68" s="555" t="inlineStr">
        <is>
          <t>งานตรวจสอบภายใน</t>
        </is>
      </c>
      <c r="E68" s="554" t="inlineStr">
        <is>
          <t>201000</t>
        </is>
      </c>
      <c r="F68" s="555" t="inlineStr">
        <is>
          <t>กองทุนทั่วไป</t>
        </is>
      </c>
    </row>
    <row r="69">
      <c r="A69" s="554" t="inlineStr">
        <is>
          <t>11880000</t>
        </is>
      </c>
      <c r="B69" s="555" t="inlineStr">
        <is>
          <t>ศูนย์บริการสุขภาพแบบครบวงจรแห่งภาคเหนือและอนุภูมิภาคลุ่มแม่น้ำโขง</t>
        </is>
      </c>
      <c r="C69" s="554" t="inlineStr">
        <is>
          <t>07700</t>
        </is>
      </c>
      <c r="D69" s="555" t="inlineStr">
        <is>
          <t>งานให้บริการรักษาพยาบาลและส่งเสริมสุขภาพเพื่อการศึกษาและวิจัย</t>
        </is>
      </c>
      <c r="E69" s="554" t="inlineStr">
        <is>
          <t>207002</t>
        </is>
      </c>
      <c r="F69" s="555" t="inlineStr">
        <is>
          <t>กองทุนบริการสุขภาพแก่สังคม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B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.25" customWidth="1" style="592" min="1" max="1"/>
    <col width="61.88" customWidth="1" style="592" min="2" max="2"/>
  </cols>
  <sheetData>
    <row r="1">
      <c r="A1" s="556" t="inlineStr">
        <is>
          <t>กลยุทธ์แผนพัฒนาฉบับที่ 5</t>
        </is>
      </c>
      <c r="B1" s="557">
        <f>'โครงการ'!D13</f>
        <v/>
      </c>
    </row>
    <row r="2">
      <c r="A2" s="556" t="inlineStr">
        <is>
          <t>ตัวชี้วัด(X)</t>
        </is>
      </c>
      <c r="B2" s="558">
        <f>IFERROR(__xludf.DUMMYFUNCTION("UNIQUE(QUERY(dropdown_plan6!A:R,""SELECT R WHERE O ='""&amp;B1&amp;""'""))"),"")</f>
        <v/>
      </c>
    </row>
    <row r="3">
      <c r="A3" s="548" t="n"/>
      <c r="B3" s="558" t="n"/>
    </row>
    <row r="4">
      <c r="A4" s="548" t="n"/>
      <c r="B4" s="558" t="n"/>
    </row>
    <row r="5">
      <c r="A5" s="548" t="n"/>
      <c r="B5" s="558" t="n"/>
    </row>
    <row r="6">
      <c r="A6" s="548" t="n"/>
      <c r="B6" s="558" t="n"/>
    </row>
    <row r="7">
      <c r="A7" s="548" t="n"/>
      <c r="B7" s="558" t="n"/>
    </row>
    <row r="8">
      <c r="A8" s="548" t="n"/>
      <c r="B8" s="558" t="n"/>
    </row>
    <row r="9">
      <c r="A9" s="548" t="n"/>
      <c r="B9" s="558" t="n"/>
    </row>
    <row r="10">
      <c r="A10" s="548" t="n"/>
      <c r="B10" s="558" t="n"/>
    </row>
    <row r="11">
      <c r="A11" s="548" t="n"/>
      <c r="B11" s="558" t="n"/>
    </row>
    <row r="12">
      <c r="A12" s="548" t="n"/>
      <c r="B12" s="558" t="n"/>
    </row>
    <row r="13">
      <c r="A13" s="548" t="n"/>
      <c r="B13" s="558" t="n"/>
    </row>
    <row r="14">
      <c r="A14" s="548" t="n"/>
      <c r="B14" s="558" t="n"/>
    </row>
    <row r="15">
      <c r="A15" s="548" t="n"/>
      <c r="B15" s="558" t="n"/>
    </row>
    <row r="16">
      <c r="A16" s="548" t="n"/>
      <c r="B16" s="558" t="n"/>
    </row>
    <row r="17">
      <c r="A17" s="548" t="n"/>
      <c r="B17" s="558" t="n"/>
    </row>
    <row r="18">
      <c r="A18" s="548" t="n"/>
      <c r="B18" s="558" t="n"/>
    </row>
    <row r="19">
      <c r="A19" s="548" t="n"/>
      <c r="B19" s="558" t="n"/>
    </row>
    <row r="20">
      <c r="A20" s="548" t="n"/>
      <c r="B20" s="558" t="n"/>
    </row>
    <row r="21">
      <c r="A21" s="548" t="n"/>
      <c r="B21" s="558" t="n"/>
    </row>
    <row r="22">
      <c r="A22" s="548" t="n"/>
      <c r="B22" s="558" t="n"/>
    </row>
    <row r="23">
      <c r="A23" s="548" t="n"/>
      <c r="B23" s="558" t="n"/>
    </row>
    <row r="24">
      <c r="A24" s="548" t="n"/>
      <c r="B24" s="558" t="n"/>
    </row>
    <row r="25">
      <c r="A25" s="548" t="n"/>
      <c r="B25" s="558" t="n"/>
    </row>
    <row r="26">
      <c r="A26" s="548" t="n"/>
      <c r="B26" s="558" t="n"/>
    </row>
    <row r="27">
      <c r="A27" s="548" t="n"/>
      <c r="B27" s="558" t="n"/>
    </row>
    <row r="28">
      <c r="A28" s="548" t="n"/>
      <c r="B28" s="558" t="n"/>
    </row>
    <row r="29">
      <c r="A29" s="548" t="n"/>
      <c r="B29" s="558" t="n"/>
    </row>
    <row r="30">
      <c r="A30" s="548" t="n"/>
      <c r="B30" s="558" t="n"/>
    </row>
    <row r="31">
      <c r="A31" s="548" t="n"/>
      <c r="B31" s="558" t="n"/>
    </row>
    <row r="32">
      <c r="A32" s="548" t="n"/>
      <c r="B32" s="558" t="n"/>
    </row>
    <row r="33">
      <c r="A33" s="548" t="n"/>
      <c r="B33" s="558" t="n"/>
    </row>
    <row r="34">
      <c r="A34" s="548" t="n"/>
      <c r="B34" s="558" t="n"/>
    </row>
    <row r="35">
      <c r="A35" s="548" t="n"/>
      <c r="B35" s="558" t="n"/>
    </row>
    <row r="36">
      <c r="A36" s="548" t="n"/>
      <c r="B36" s="558" t="n"/>
    </row>
    <row r="37">
      <c r="A37" s="548" t="n"/>
      <c r="B37" s="558" t="n"/>
    </row>
    <row r="38">
      <c r="A38" s="548" t="n"/>
      <c r="B38" s="558" t="n"/>
    </row>
    <row r="39">
      <c r="A39" s="548" t="n"/>
      <c r="B39" s="558" t="n"/>
    </row>
    <row r="40">
      <c r="A40" s="548" t="n"/>
      <c r="B40" s="558" t="n"/>
    </row>
    <row r="41">
      <c r="A41" s="548" t="n"/>
      <c r="B41" s="558" t="n"/>
    </row>
    <row r="42">
      <c r="A42" s="548" t="n"/>
      <c r="B42" s="558" t="n"/>
    </row>
    <row r="43">
      <c r="A43" s="548" t="n"/>
      <c r="B43" s="558" t="n"/>
    </row>
    <row r="44">
      <c r="A44" s="548" t="n"/>
      <c r="B44" s="558" t="n"/>
    </row>
    <row r="45">
      <c r="A45" s="548" t="n"/>
      <c r="B45" s="558" t="n"/>
    </row>
    <row r="46">
      <c r="A46" s="548" t="n"/>
      <c r="B46" s="558" t="n"/>
    </row>
    <row r="47">
      <c r="A47" s="548" t="n"/>
      <c r="B47" s="558" t="n"/>
    </row>
    <row r="48">
      <c r="A48" s="548" t="n"/>
      <c r="B48" s="558" t="n"/>
    </row>
    <row r="49">
      <c r="A49" s="548" t="n"/>
      <c r="B49" s="558" t="n"/>
    </row>
    <row r="50">
      <c r="A50" s="548" t="n"/>
      <c r="B50" s="558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R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" customWidth="1" style="592" min="1" max="1"/>
    <col width="15.38" customWidth="1" style="592" min="2" max="4"/>
    <col width="4.63" customWidth="1" style="592" min="5" max="5"/>
    <col width="15.38" customWidth="1" style="592" min="6" max="7"/>
    <col width="10.38" customWidth="1" style="592" min="8" max="8"/>
    <col width="15.38" customWidth="1" style="592" min="9" max="11"/>
    <col width="4.63" customWidth="1" style="592" min="12" max="12"/>
    <col width="15.38" customWidth="1" style="592" min="13" max="15"/>
    <col width="5.13" customWidth="1" style="592" min="16" max="16"/>
    <col width="15.38" customWidth="1" style="592" min="17" max="18"/>
  </cols>
  <sheetData>
    <row r="1">
      <c r="A1" s="559" t="inlineStr">
        <is>
          <t>ยุทธศาสตร์</t>
        </is>
      </c>
      <c r="B1" s="559" t="inlineStr">
        <is>
          <t>ชื่อยุทธศาสตร์</t>
        </is>
      </c>
      <c r="C1" s="559" t="inlineStr">
        <is>
          <t>ชื่อเต็มยุทธศาสตร์</t>
        </is>
      </c>
      <c r="D1" s="559" t="inlineStr">
        <is>
          <t>เป้าประสงค์</t>
        </is>
      </c>
      <c r="E1" s="560" t="inlineStr">
        <is>
          <t>ZKPI</t>
        </is>
      </c>
      <c r="F1" s="560" t="inlineStr">
        <is>
          <t>ชื่อตัวชี้วัดของยุทธศาสตร์</t>
        </is>
      </c>
      <c r="G1" s="560" t="inlineStr">
        <is>
          <t>ชื่อเต็มตัวชี้วัดของยุทธศาสตร์</t>
        </is>
      </c>
      <c r="H1" s="559" t="inlineStr">
        <is>
          <t>รหัสประเด็นยุทธศาสตร์</t>
        </is>
      </c>
      <c r="I1" s="559" t="inlineStr">
        <is>
          <t>ชื่อประเด็นยุทธศาสตร์</t>
        </is>
      </c>
      <c r="J1" s="559" t="inlineStr">
        <is>
          <t>ชื่อเต็มประเด็นยุทธศาสตร์</t>
        </is>
      </c>
      <c r="K1" s="561" t="inlineStr">
        <is>
          <t>เป้าหมายประเด็นยุทธศาสตร์</t>
        </is>
      </c>
      <c r="L1" s="560" t="inlineStr">
        <is>
          <t>YKPI</t>
        </is>
      </c>
      <c r="M1" s="560" t="inlineStr">
        <is>
          <t>ชื่อตัวชี้วัดประเด็นยุทธศาสตร์</t>
        </is>
      </c>
      <c r="N1" s="560" t="inlineStr">
        <is>
          <t>ชื่อเต็มตัวชี้วัดประเด็นยุทธศาสตร์</t>
        </is>
      </c>
      <c r="O1" s="562" t="inlineStr">
        <is>
          <t>กลยุทธ์ (T)</t>
        </is>
      </c>
      <c r="P1" s="560" t="inlineStr">
        <is>
          <t>XKPI</t>
        </is>
      </c>
      <c r="Q1" s="560" t="inlineStr">
        <is>
          <t>ชื่อตัวชี้วัดกระบวนการ</t>
        </is>
      </c>
      <c r="R1" s="560" t="inlineStr">
        <is>
          <t>ชื่อเต็มตัวชี้วัดกระบวนการ</t>
        </is>
      </c>
    </row>
    <row r="2">
      <c r="A2" s="564" t="inlineStr">
        <is>
          <t>ยุทธศาสตร์ที่ 1</t>
        </is>
      </c>
      <c r="B2" s="564" t="inlineStr">
        <is>
          <t>พัฒนากำลังคนแห่งอนาคต</t>
        </is>
      </c>
      <c r="C2" s="564" t="inlineStr">
        <is>
          <t>ยุทธศาสตร์ที่ 1 พัฒนากำลังคนแห่งอนาคต</t>
        </is>
      </c>
      <c r="D2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2" s="566" t="inlineStr">
        <is>
          <t>Z1</t>
        </is>
      </c>
      <c r="F2" s="571" t="inlineStr">
        <is>
          <t>สมรรถนะความเป็น Global Citizen ของบัณฑิต</t>
        </is>
      </c>
      <c r="G2" s="571" t="inlineStr">
        <is>
          <t>Z1 สมรรถนะความเป็น Global Citizen ของบัณฑิต</t>
        </is>
      </c>
      <c r="H2" s="570" t="inlineStr">
        <is>
          <t>P1.1</t>
        </is>
      </c>
      <c r="I2" s="569" t="inlineStr">
        <is>
          <t xml:space="preserve">พัฒนาสมรรถนะที่ยั่งยืน </t>
        </is>
      </c>
      <c r="J2" s="569" t="inlineStr">
        <is>
          <t xml:space="preserve">P1.1 พัฒนาสมรรถนะที่ยั่งยืน </t>
        </is>
      </c>
      <c r="K2" s="569" t="inlineStr">
        <is>
          <t>บัณฑิตที่มี MFU Character “รู้ทันโลก รักษ์สิ่งแวดล้อม รับผิดชอบส่วนรวม”</t>
        </is>
      </c>
      <c r="L2" s="570" t="inlineStr">
        <is>
          <t>Y1.1</t>
        </is>
      </c>
      <c r="M2" s="569" t="inlineStr">
        <is>
          <t xml:space="preserve"> อัตราการมีงานทำของบัณฑิต</t>
        </is>
      </c>
      <c r="N2" s="571" t="inlineStr">
        <is>
          <t>Y1.1  อัตราการมีงานทำของบัณฑิต</t>
        </is>
      </c>
      <c r="O2" s="569" t="inlineStr">
        <is>
          <t>กลยุทธ์ 1.1 สร้างเสริมสมรรถนะผ่านการเรียนรู้จากประสบการณ์จริงและกิจกรรมนอกหลักสูตร</t>
        </is>
      </c>
      <c r="P2" s="570" t="inlineStr">
        <is>
          <t>X1.1</t>
        </is>
      </c>
      <c r="Q2" s="569" t="inlineStr">
        <is>
          <t>ร้อยละของผู้เรียนที่มี MFU Character</t>
        </is>
      </c>
      <c r="R2" s="571" t="inlineStr">
        <is>
          <t>X1.1 ร้อยละของผู้เรียนที่มี MFU Character</t>
        </is>
      </c>
    </row>
    <row r="3">
      <c r="A3" s="564" t="inlineStr">
        <is>
          <t>ยุทธศาสตร์ที่ 1</t>
        </is>
      </c>
      <c r="B3" s="564" t="inlineStr">
        <is>
          <t>พัฒนากำลังคนแห่งอนาคต</t>
        </is>
      </c>
      <c r="C3" s="564" t="inlineStr">
        <is>
          <t>ยุทธศาสตร์ที่ 1 พัฒนากำลังคนแห่งอนาคต</t>
        </is>
      </c>
      <c r="D3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3" s="566" t="inlineStr">
        <is>
          <t>Z1</t>
        </is>
      </c>
      <c r="F3" s="571" t="inlineStr">
        <is>
          <t>สมรรถนะความเป็น Global Citizen ของบัณฑิต</t>
        </is>
      </c>
      <c r="G3" s="571" t="inlineStr">
        <is>
          <t>Z1 สมรรถนะความเป็น Global Citizen ของบัณฑิต</t>
        </is>
      </c>
      <c r="H3" s="570" t="inlineStr">
        <is>
          <t>P1.1</t>
        </is>
      </c>
      <c r="I3" s="569" t="inlineStr">
        <is>
          <t xml:space="preserve">พัฒนาสมรรถนะที่ยั่งยืน </t>
        </is>
      </c>
      <c r="J3" s="569" t="inlineStr">
        <is>
          <t xml:space="preserve">P1.1 พัฒนาสมรรถนะที่ยั่งยืน </t>
        </is>
      </c>
      <c r="K3" s="569" t="inlineStr">
        <is>
          <t>บัณฑิตที่มี MFU Character “รู้ทันโลก รักษ์สิ่งแวดล้อม รับผิดชอบส่วนรวม”</t>
        </is>
      </c>
      <c r="L3" s="570" t="inlineStr">
        <is>
          <t>Y1.1</t>
        </is>
      </c>
      <c r="M3" s="569" t="inlineStr">
        <is>
          <t xml:space="preserve"> อัตราการมีงานทำของบัณฑิต</t>
        </is>
      </c>
      <c r="N3" s="571" t="inlineStr">
        <is>
          <t>Y1.1  อัตราการมีงานทำของบัณฑิต</t>
        </is>
      </c>
      <c r="O3" s="569" t="inlineStr">
        <is>
          <t>กลยุทธ์ 1.1 สร้างเสริมสมรรถนะผ่านการเรียนรู้จากประสบการณ์จริงและกิจกรรมนอกหลักสูตร</t>
        </is>
      </c>
      <c r="P3" s="570" t="inlineStr">
        <is>
          <t>X1.2</t>
        </is>
      </c>
      <c r="Q3" s="569" t="inlineStr">
        <is>
          <t>ร้อยละของผู้เรียนที่มีสมรรถนะภาษาอังกฤษได้มาตรฐาน (70 คะแนนขึ้นไป)</t>
        </is>
      </c>
      <c r="R3" s="571" t="inlineStr">
        <is>
          <t>X1.2 ร้อยละของผู้เรียนที่มีสมรรถนะภาษาอังกฤษได้มาตรฐาน (70 คะแนนขึ้นไป)</t>
        </is>
      </c>
    </row>
    <row r="4">
      <c r="A4" s="564" t="inlineStr">
        <is>
          <t>ยุทธศาสตร์ที่ 1</t>
        </is>
      </c>
      <c r="B4" s="564" t="inlineStr">
        <is>
          <t>พัฒนากำลังคนแห่งอนาคต</t>
        </is>
      </c>
      <c r="C4" s="564" t="inlineStr">
        <is>
          <t>ยุทธศาสตร์ที่ 1 พัฒนากำลังคนแห่งอนาคต</t>
        </is>
      </c>
      <c r="D4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4" s="566" t="inlineStr">
        <is>
          <t>Z1</t>
        </is>
      </c>
      <c r="F4" s="571" t="inlineStr">
        <is>
          <t>สมรรถนะความเป็น Global Citizen ของบัณฑิต</t>
        </is>
      </c>
      <c r="G4" s="571" t="inlineStr">
        <is>
          <t>Z1 สมรรถนะความเป็น Global Citizen ของบัณฑิต</t>
        </is>
      </c>
      <c r="H4" s="570" t="inlineStr">
        <is>
          <t>P1.1</t>
        </is>
      </c>
      <c r="I4" s="569" t="inlineStr">
        <is>
          <t xml:space="preserve">พัฒนาสมรรถนะที่ยั่งยืน </t>
        </is>
      </c>
      <c r="J4" s="569" t="inlineStr">
        <is>
          <t xml:space="preserve">P1.1 พัฒนาสมรรถนะที่ยั่งยืน </t>
        </is>
      </c>
      <c r="K4" s="569" t="inlineStr">
        <is>
          <t>บัณฑิตที่มี MFU Character “รู้ทันโลก รักษ์สิ่งแวดล้อม รับผิดชอบส่วนรวม”</t>
        </is>
      </c>
      <c r="L4" s="570" t="inlineStr">
        <is>
          <t>Y1.1</t>
        </is>
      </c>
      <c r="M4" s="569" t="inlineStr">
        <is>
          <t xml:space="preserve"> อัตราการมีงานทำของบัณฑิต</t>
        </is>
      </c>
      <c r="N4" s="571" t="inlineStr">
        <is>
          <t>Y1.1  อัตราการมีงานทำของบัณฑิต</t>
        </is>
      </c>
      <c r="O4" s="569" t="inlineStr">
        <is>
          <t>กลยุทธ์ 1.2 เสริมสร้างระบบนิเวศที่เอื้อต่อการบูรณาการองค์ความรู้เพื่อเพิ่มขึดความสามารถในการแข่งขัญและสร้างกำลังคนแห่งอนาคต</t>
        </is>
      </c>
      <c r="P4" s="570" t="inlineStr">
        <is>
          <t>X1.3</t>
        </is>
      </c>
      <c r="Q4" s="569" t="inlineStr">
        <is>
          <t>ร้อยละของหลักสูตรที่ได้รับการรับรองมาตรฐานการหลักสูตรระดับสากลตามเกณฑ์ AUN-QA ระดับอาเซียน/มาตรฐานสากล</t>
        </is>
      </c>
      <c r="R4" s="571" t="inlineStr">
        <is>
          <t>X1.3 ร้อยละของหลักสูตรที่ได้รับการรับรองมาตรฐานการหลักสูตรระดับสากลตามเกณฑ์ AUN-QA ระดับอาเซียน/มาตรฐานสากล</t>
        </is>
      </c>
    </row>
    <row r="5">
      <c r="A5" s="564" t="inlineStr">
        <is>
          <t>ยุทธศาสตร์ที่ 1</t>
        </is>
      </c>
      <c r="B5" s="564" t="inlineStr">
        <is>
          <t>พัฒนากำลังคนแห่งอนาคต</t>
        </is>
      </c>
      <c r="C5" s="564" t="inlineStr">
        <is>
          <t>ยุทธศาสตร์ที่ 1 พัฒนากำลังคนแห่งอนาคต</t>
        </is>
      </c>
      <c r="D5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5" s="566" t="inlineStr">
        <is>
          <t>Z1</t>
        </is>
      </c>
      <c r="F5" s="571" t="inlineStr">
        <is>
          <t>สมรรถนะความเป็น Global Citizen ของบัณฑิต</t>
        </is>
      </c>
      <c r="G5" s="571" t="inlineStr">
        <is>
          <t>Z1 สมรรถนะความเป็น Global Citizen ของบัณฑิต</t>
        </is>
      </c>
      <c r="H5" s="570" t="inlineStr">
        <is>
          <t>P1.1</t>
        </is>
      </c>
      <c r="I5" s="569" t="inlineStr">
        <is>
          <t xml:space="preserve">พัฒนาสมรรถนะที่ยั่งยืน </t>
        </is>
      </c>
      <c r="J5" s="569" t="inlineStr">
        <is>
          <t xml:space="preserve">P1.1 พัฒนาสมรรถนะที่ยั่งยืน </t>
        </is>
      </c>
      <c r="K5" s="569" t="inlineStr">
        <is>
          <t>บัณฑิตที่มี MFU Character “รู้ทันโลก รักษ์สิ่งแวดล้อม รับผิดชอบส่วนรวม”</t>
        </is>
      </c>
      <c r="L5" s="570" t="inlineStr">
        <is>
          <t>Y1.1</t>
        </is>
      </c>
      <c r="M5" s="569" t="inlineStr">
        <is>
          <t xml:space="preserve"> อัตราการมีงานทำของบัณฑิต</t>
        </is>
      </c>
      <c r="N5" s="571" t="inlineStr">
        <is>
          <t>Y1.1  อัตราการมีงานทำของบัณฑิต</t>
        </is>
      </c>
      <c r="O5" s="569" t="inlineStr">
        <is>
          <t>กลยุทธ์ 1.3 การจัดการศึกษาเพื่อส่งเสริมการเรียนรู้ตลอดชีวิต และการใช้เทคโนโลยีดิจิตัลอย่างถูกหลักจริยธรรม</t>
        </is>
      </c>
      <c r="P5" s="570" t="inlineStr">
        <is>
          <t>X1.4</t>
        </is>
      </c>
      <c r="Q5" s="569" t="inlineStr">
        <is>
          <t>อัตราการเพิ่มขึ้นของผู้เรียน ในหลักสูตรแบบ flexible lifelong</t>
        </is>
      </c>
      <c r="R5" s="571" t="inlineStr">
        <is>
          <t>X1.4 อัตราการเพิ่มขึ้นของผู้เรียน ในหลักสูตรแบบ flexible lifelong</t>
        </is>
      </c>
    </row>
    <row r="6">
      <c r="A6" s="564" t="inlineStr">
        <is>
          <t>ยุทธศาสตร์ที่ 1</t>
        </is>
      </c>
      <c r="B6" s="564" t="inlineStr">
        <is>
          <t>พัฒนากำลังคนแห่งอนาคต</t>
        </is>
      </c>
      <c r="C6" s="564" t="inlineStr">
        <is>
          <t>ยุทธศาสตร์ที่ 1 พัฒนากำลังคนแห่งอนาคต</t>
        </is>
      </c>
      <c r="D6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6" s="566" t="inlineStr">
        <is>
          <t>Z1</t>
        </is>
      </c>
      <c r="F6" s="571" t="inlineStr">
        <is>
          <t>สมรรถนะความเป็น Global Citizen ของบัณฑิต</t>
        </is>
      </c>
      <c r="G6" s="571" t="inlineStr">
        <is>
          <t>Z1 สมรรถนะความเป็น Global Citizen ของบัณฑิต</t>
        </is>
      </c>
      <c r="H6" s="570" t="inlineStr">
        <is>
          <t>P1.1</t>
        </is>
      </c>
      <c r="I6" s="569" t="inlineStr">
        <is>
          <t xml:space="preserve">พัฒนาสมรรถนะที่ยั่งยืน </t>
        </is>
      </c>
      <c r="J6" s="569" t="inlineStr">
        <is>
          <t xml:space="preserve">P1.1 พัฒนาสมรรถนะที่ยั่งยืน </t>
        </is>
      </c>
      <c r="K6" s="569" t="inlineStr">
        <is>
          <t>บัณฑิตที่มี MFU Character “รู้ทันโลก รักษ์สิ่งแวดล้อม รับผิดชอบส่วนรวม”</t>
        </is>
      </c>
      <c r="L6" s="570" t="inlineStr">
        <is>
          <t>Y1.1</t>
        </is>
      </c>
      <c r="M6" s="569" t="inlineStr">
        <is>
          <t xml:space="preserve"> อัตราการมีงานทำของบัณฑิต</t>
        </is>
      </c>
      <c r="N6" s="571" t="inlineStr">
        <is>
          <t>Y1.1  อัตราการมีงานทำของบัณฑิต</t>
        </is>
      </c>
      <c r="O6" s="569" t="inlineStr">
        <is>
          <t>กลยุทธ์ 1.4 พัฒนาเครือข่ายความร่วมมือ</t>
        </is>
      </c>
      <c r="P6" s="570" t="inlineStr">
        <is>
          <t>X1.5</t>
        </is>
      </c>
      <c r="Q6" s="569" t="inlineStr">
        <is>
          <t>ร้อยละการเคลื่อนย้ายออกของนักศึกษา (Outbound Student)</t>
        </is>
      </c>
      <c r="R6" s="571" t="inlineStr">
        <is>
          <t>X1.5 ร้อยละการเคลื่อนย้ายออกของนักศึกษา (Outbound Student)</t>
        </is>
      </c>
    </row>
    <row r="7">
      <c r="A7" s="564" t="inlineStr">
        <is>
          <t>ยุทธศาสตร์ที่ 1</t>
        </is>
      </c>
      <c r="B7" s="564" t="inlineStr">
        <is>
          <t>พัฒนากำลังคนแห่งอนาคต</t>
        </is>
      </c>
      <c r="C7" s="564" t="inlineStr">
        <is>
          <t>ยุทธศาสตร์ที่ 1 พัฒนากำลังคนแห่งอนาคต</t>
        </is>
      </c>
      <c r="D7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7" s="566" t="inlineStr">
        <is>
          <t>Z1</t>
        </is>
      </c>
      <c r="F7" s="571" t="inlineStr">
        <is>
          <t>สมรรถนะความเป็น Global Citizen ของบัณฑิต</t>
        </is>
      </c>
      <c r="G7" s="571" t="inlineStr">
        <is>
          <t>Z1 สมรรถนะความเป็น Global Citizen ของบัณฑิต</t>
        </is>
      </c>
      <c r="H7" s="570" t="inlineStr">
        <is>
          <t>P1.1</t>
        </is>
      </c>
      <c r="I7" s="569" t="inlineStr">
        <is>
          <t xml:space="preserve">พัฒนาสมรรถนะที่ยั่งยืน </t>
        </is>
      </c>
      <c r="J7" s="569" t="inlineStr">
        <is>
          <t xml:space="preserve">P1.1 พัฒนาสมรรถนะที่ยั่งยืน </t>
        </is>
      </c>
      <c r="K7" s="569" t="inlineStr">
        <is>
          <t>บัณฑิตที่มี MFU Character “รู้ทันโลก รักษ์สิ่งแวดล้อม รับผิดชอบส่วนรวม”</t>
        </is>
      </c>
      <c r="L7" s="570" t="inlineStr">
        <is>
          <t>Y1.1</t>
        </is>
      </c>
      <c r="M7" s="569" t="inlineStr">
        <is>
          <t xml:space="preserve"> อัตราการมีงานทำของบัณฑิต</t>
        </is>
      </c>
      <c r="N7" s="571" t="inlineStr">
        <is>
          <t>Y1.1  อัตราการมีงานทำของบัณฑิต</t>
        </is>
      </c>
      <c r="O7" s="569" t="inlineStr">
        <is>
          <t>กลยุทธ์ 1.4 พัฒนาเครือข่ายความร่วมมือ</t>
        </is>
      </c>
      <c r="P7" s="570" t="inlineStr">
        <is>
          <t>X1.6</t>
        </is>
      </c>
      <c r="Q7" s="569" t="inlineStr">
        <is>
          <t>ร้อยละการเคลื่อนย้ายเข้าของนักศึกษา (Inbound Student)</t>
        </is>
      </c>
      <c r="R7" s="571" t="inlineStr">
        <is>
          <t>X1.6 ร้อยละการเคลื่อนย้ายเข้าของนักศึกษา (Inbound Student)</t>
        </is>
      </c>
    </row>
    <row r="8">
      <c r="A8" s="564" t="inlineStr">
        <is>
          <t>ยุทธศาสตร์ที่ 1</t>
        </is>
      </c>
      <c r="B8" s="564" t="inlineStr">
        <is>
          <t>พัฒนากำลังคนแห่งอนาคต</t>
        </is>
      </c>
      <c r="C8" s="564" t="inlineStr">
        <is>
          <t>ยุทธศาสตร์ที่ 1 พัฒนากำลังคนแห่งอนาคต</t>
        </is>
      </c>
      <c r="D8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8" s="566" t="inlineStr">
        <is>
          <t>Z1</t>
        </is>
      </c>
      <c r="F8" s="571" t="inlineStr">
        <is>
          <t>สมรรถนะความเป็น Global Citizen ของบัณฑิต</t>
        </is>
      </c>
      <c r="G8" s="571" t="inlineStr">
        <is>
          <t>Z1 สมรรถนะความเป็น Global Citizen ของบัณฑิต</t>
        </is>
      </c>
      <c r="H8" s="570" t="inlineStr">
        <is>
          <t>P1.1</t>
        </is>
      </c>
      <c r="I8" s="569" t="inlineStr">
        <is>
          <t xml:space="preserve">พัฒนาสมรรถนะที่ยั่งยืน </t>
        </is>
      </c>
      <c r="J8" s="569" t="inlineStr">
        <is>
          <t xml:space="preserve">P1.1 พัฒนาสมรรถนะที่ยั่งยืน </t>
        </is>
      </c>
      <c r="K8" s="569" t="inlineStr">
        <is>
          <t>บัณฑิตที่มี MFU Character “รู้ทันโลก รักษ์สิ่งแวดล้อม รับผิดชอบส่วนรวม”</t>
        </is>
      </c>
      <c r="L8" s="570" t="inlineStr">
        <is>
          <t>Y1.1</t>
        </is>
      </c>
      <c r="M8" s="569" t="inlineStr">
        <is>
          <t xml:space="preserve"> อัตราการมีงานทำของบัณฑิต</t>
        </is>
      </c>
      <c r="N8" s="571" t="inlineStr">
        <is>
          <t>Y1.1  อัตราการมีงานทำของบัณฑิต</t>
        </is>
      </c>
      <c r="O8" s="569" t="inlineStr">
        <is>
          <t>กลยุทธ์ 1.4 พัฒนาเครือข่ายความร่วมมือ</t>
        </is>
      </c>
      <c r="P8" s="570" t="inlineStr">
        <is>
          <t>X1.7</t>
        </is>
      </c>
      <c r="Q8" s="569" t="inlineStr">
        <is>
          <t>ร้อยละการเคลื่อนย้ายออกของบุคลากร (Outbound Staff)</t>
        </is>
      </c>
      <c r="R8" s="571" t="inlineStr">
        <is>
          <t>X1.7 ร้อยละการเคลื่อนย้ายออกของบุคลากร (Outbound Staff)</t>
        </is>
      </c>
    </row>
    <row r="9">
      <c r="A9" s="564" t="inlineStr">
        <is>
          <t>ยุทธศาสตร์ที่ 1</t>
        </is>
      </c>
      <c r="B9" s="564" t="inlineStr">
        <is>
          <t>พัฒนากำลังคนแห่งอนาคต</t>
        </is>
      </c>
      <c r="C9" s="564" t="inlineStr">
        <is>
          <t>ยุทธศาสตร์ที่ 1 พัฒนากำลังคนแห่งอนาคต</t>
        </is>
      </c>
      <c r="D9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9" s="566" t="inlineStr">
        <is>
          <t>Z1</t>
        </is>
      </c>
      <c r="F9" s="571" t="inlineStr">
        <is>
          <t>สมรรถนะความเป็น Global Citizen ของบัณฑิต</t>
        </is>
      </c>
      <c r="G9" s="571" t="inlineStr">
        <is>
          <t>Z1 สมรรถนะความเป็น Global Citizen ของบัณฑิต</t>
        </is>
      </c>
      <c r="H9" s="570" t="inlineStr">
        <is>
          <t>P1.1</t>
        </is>
      </c>
      <c r="I9" s="569" t="inlineStr">
        <is>
          <t xml:space="preserve">พัฒนาสมรรถนะที่ยั่งยืน </t>
        </is>
      </c>
      <c r="J9" s="569" t="inlineStr">
        <is>
          <t xml:space="preserve">P1.1 พัฒนาสมรรถนะที่ยั่งยืน </t>
        </is>
      </c>
      <c r="K9" s="569" t="inlineStr">
        <is>
          <t>บัณฑิตที่มี MFU Character “รู้ทันโลก รักษ์สิ่งแวดล้อม รับผิดชอบส่วนรวม”</t>
        </is>
      </c>
      <c r="L9" s="570" t="inlineStr">
        <is>
          <t>Y1.1</t>
        </is>
      </c>
      <c r="M9" s="569" t="inlineStr">
        <is>
          <t xml:space="preserve"> อัตราการมีงานทำของบัณฑิต</t>
        </is>
      </c>
      <c r="N9" s="571" t="inlineStr">
        <is>
          <t>Y1.1  อัตราการมีงานทำของบัณฑิต</t>
        </is>
      </c>
      <c r="O9" s="569" t="inlineStr">
        <is>
          <t>กลยุทธ์ 1.4 พัฒนาเครือข่ายความร่วมมือ</t>
        </is>
      </c>
      <c r="P9" s="570" t="inlineStr">
        <is>
          <t>X1.8</t>
        </is>
      </c>
      <c r="Q9" s="569" t="inlineStr">
        <is>
          <t>ร้อยละการเคลื่อนย้ายเข้าของบุคลากร (Inbound Staff)</t>
        </is>
      </c>
      <c r="R9" s="571" t="inlineStr">
        <is>
          <t>X1.8 ร้อยละการเคลื่อนย้ายเข้าของบุคลากร (Inbound Staff)</t>
        </is>
      </c>
    </row>
    <row r="10">
      <c r="A10" s="564" t="inlineStr">
        <is>
          <t>ยุทธศาสตร์ที่ 1</t>
        </is>
      </c>
      <c r="B10" s="564" t="inlineStr">
        <is>
          <t>พัฒนากำลังคนแห่งอนาคต</t>
        </is>
      </c>
      <c r="C10" s="564" t="inlineStr">
        <is>
          <t>ยุทธศาสตร์ที่ 1 พัฒนากำลังคนแห่งอนาคต</t>
        </is>
      </c>
      <c r="D10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10" s="566" t="inlineStr">
        <is>
          <t>Z1</t>
        </is>
      </c>
      <c r="F10" s="571" t="inlineStr">
        <is>
          <t>สมรรถนะความเป็น Global Citizen ของบัณฑิต</t>
        </is>
      </c>
      <c r="G10" s="571" t="inlineStr">
        <is>
          <t>Z1 สมรรถนะความเป็น Global Citizen ของบัณฑิต</t>
        </is>
      </c>
      <c r="H10" s="570" t="inlineStr">
        <is>
          <t>P1.1</t>
        </is>
      </c>
      <c r="I10" s="569" t="inlineStr">
        <is>
          <t xml:space="preserve">พัฒนาสมรรถนะที่ยั่งยืน </t>
        </is>
      </c>
      <c r="J10" s="569" t="inlineStr">
        <is>
          <t xml:space="preserve">P1.1 พัฒนาสมรรถนะที่ยั่งยืน </t>
        </is>
      </c>
      <c r="K10" s="569" t="inlineStr">
        <is>
          <t>บัณฑิตที่มี MFU Character “รู้ทันโลก รักษ์สิ่งแวดล้อม รับผิดชอบส่วนรวม”</t>
        </is>
      </c>
      <c r="L10" s="570" t="inlineStr">
        <is>
          <t>Y1.1</t>
        </is>
      </c>
      <c r="M10" s="569" t="inlineStr">
        <is>
          <t xml:space="preserve"> อัตราการมีงานทำของบัณฑิต</t>
        </is>
      </c>
      <c r="N10" s="571" t="inlineStr">
        <is>
          <t>Y1.1  อัตราการมีงานทำของบัณฑิต</t>
        </is>
      </c>
      <c r="O10" s="569" t="inlineStr">
        <is>
          <t>กลยุทธ์ 1.4 พัฒนาเครือข่ายความร่วมมือ</t>
        </is>
      </c>
      <c r="P10" s="570" t="inlineStr">
        <is>
          <t>X1.9</t>
        </is>
      </c>
      <c r="Q10" s="569" t="inlineStr">
        <is>
          <t>อัตราการการเพิ่มขึ้นของนักศึกษาต่างชาติ</t>
        </is>
      </c>
      <c r="R10" s="571" t="inlineStr">
        <is>
          <t>X1.9 อัตราการการเพิ่มขึ้นของนักศึกษาต่างชาติ</t>
        </is>
      </c>
    </row>
    <row r="11">
      <c r="A11" s="564" t="inlineStr">
        <is>
          <t>ยุทธศาสตร์ที่ 1</t>
        </is>
      </c>
      <c r="B11" s="564" t="inlineStr">
        <is>
          <t>พัฒนากำลังคนแห่งอนาคต</t>
        </is>
      </c>
      <c r="C11" s="564" t="inlineStr">
        <is>
          <t>ยุทธศาสตร์ที่ 1 พัฒนากำลังคนแห่งอนาคต</t>
        </is>
      </c>
      <c r="D11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11" s="566" t="inlineStr">
        <is>
          <t>Z1</t>
        </is>
      </c>
      <c r="F11" s="571" t="inlineStr">
        <is>
          <t>สมรรถนะความเป็น Global Citizen ของบัณฑิต</t>
        </is>
      </c>
      <c r="G11" s="571" t="inlineStr">
        <is>
          <t>Z1 สมรรถนะความเป็น Global Citizen ของบัณฑิต</t>
        </is>
      </c>
      <c r="H11" s="570" t="inlineStr">
        <is>
          <t>P1.1</t>
        </is>
      </c>
      <c r="I11" s="569" t="inlineStr">
        <is>
          <t xml:space="preserve">พัฒนาสมรรถนะที่ยั่งยืน </t>
        </is>
      </c>
      <c r="J11" s="569" t="inlineStr">
        <is>
          <t xml:space="preserve">P1.1 พัฒนาสมรรถนะที่ยั่งยืน </t>
        </is>
      </c>
      <c r="K11" s="569" t="inlineStr">
        <is>
          <t>บัณฑิตที่มี MFU Character “รู้ทันโลก รักษ์สิ่งแวดล้อม รับผิดชอบส่วนรวม”</t>
        </is>
      </c>
      <c r="L11" s="570" t="inlineStr">
        <is>
          <t>Y1.1</t>
        </is>
      </c>
      <c r="M11" s="569" t="inlineStr">
        <is>
          <t xml:space="preserve"> อัตราการมีงานทำของบัณฑิต</t>
        </is>
      </c>
      <c r="N11" s="571" t="inlineStr">
        <is>
          <t>Y1.1  อัตราการมีงานทำของบัณฑิต</t>
        </is>
      </c>
      <c r="O11" s="569" t="inlineStr">
        <is>
          <t>กลยุทธ์ 1.4 พัฒนาเครือข่ายความร่วมมือ</t>
        </is>
      </c>
      <c r="P11" s="570" t="inlineStr">
        <is>
          <t>X1.10</t>
        </is>
      </c>
      <c r="Q11" s="569" t="inlineStr">
        <is>
          <t>การมีส่วนร่วมของเครือข่ายศิษย์เก่าหรือพันธมิตร (Active Alumni)</t>
        </is>
      </c>
      <c r="R11" s="571" t="inlineStr">
        <is>
          <t>X1.10 การมีส่วนร่วมของเครือข่ายศิษย์เก่าหรือพันธมิตร (Active Alumni)</t>
        </is>
      </c>
    </row>
    <row r="12">
      <c r="A12" s="564" t="inlineStr">
        <is>
          <t>ยุทธศาสตร์ที่ 1</t>
        </is>
      </c>
      <c r="B12" s="564" t="inlineStr">
        <is>
          <t>พัฒนากำลังคนแห่งอนาคต</t>
        </is>
      </c>
      <c r="C12" s="564" t="inlineStr">
        <is>
          <t>ยุทธศาสตร์ที่ 1 พัฒนากำลังคนแห่งอนาคต</t>
        </is>
      </c>
      <c r="D12" s="569" t="inlineStr">
        <is>
          <t>พัฒนาผู้เรียนให้มีอัตลักษณ์แม่ฟ้าหลวง รู้ทันโลก รักษ์สิ่งแวดล้อม รับผิดชอบส่วนรวม</t>
        </is>
      </c>
      <c r="E12" s="566" t="inlineStr">
        <is>
          <t>Z1</t>
        </is>
      </c>
      <c r="F12" s="571" t="inlineStr">
        <is>
          <t>สมรรถนะความเป็น Global Citizen ของบัณฑิต</t>
        </is>
      </c>
      <c r="G12" s="571" t="inlineStr">
        <is>
          <t>Z1 สมรรถนะความเป็น Global Citizen ของบัณฑิต</t>
        </is>
      </c>
      <c r="H12" s="570" t="inlineStr">
        <is>
          <t>P1.1</t>
        </is>
      </c>
      <c r="I12" s="569" t="inlineStr">
        <is>
          <t xml:space="preserve">พัฒนาสมรรถนะที่ยั่งยืน </t>
        </is>
      </c>
      <c r="J12" s="569" t="inlineStr">
        <is>
          <t xml:space="preserve">P1.1 พัฒนาสมรรถนะที่ยั่งยืน </t>
        </is>
      </c>
      <c r="K12" s="569" t="inlineStr">
        <is>
          <t>บัณฑิตที่มี MFU Character “รู้ทันโลก รักษ์สิ่งแวดล้อม รับผิดชอบส่วนรวม”</t>
        </is>
      </c>
      <c r="L12" s="570" t="inlineStr">
        <is>
          <t>Y1.1</t>
        </is>
      </c>
      <c r="M12" s="569" t="inlineStr">
        <is>
          <t xml:space="preserve"> อัตราการมีงานทำของบัณฑิต</t>
        </is>
      </c>
      <c r="N12" s="571" t="inlineStr">
        <is>
          <t>Y1.1  อัตราการมีงานทำของบัณฑิต</t>
        </is>
      </c>
      <c r="O12" s="569" t="inlineStr">
        <is>
          <t>กลยุทธ์ 1.4 พัฒนาเครือข่ายความร่วมมือ</t>
        </is>
      </c>
      <c r="P12" s="570" t="inlineStr">
        <is>
          <t>X1.11</t>
        </is>
      </c>
      <c r="Q12" s="569" t="inlineStr">
        <is>
          <t>การมีส่วนร่วมของเครือข่ายพันธมิตร (Partner Engagement)</t>
        </is>
      </c>
      <c r="R12" s="571" t="inlineStr">
        <is>
          <t>X1.11 การมีส่วนร่วมของเครือข่ายพันธมิตร (Partner Engagement)</t>
        </is>
      </c>
    </row>
    <row r="13">
      <c r="A13" s="573" t="n"/>
      <c r="B13" s="573" t="n"/>
      <c r="C13" s="573" t="n"/>
      <c r="D13" s="577" t="n"/>
      <c r="E13" s="575" t="n"/>
      <c r="F13" s="576" t="n"/>
      <c r="G13" s="576" t="n"/>
      <c r="H13" s="577" t="n"/>
      <c r="I13" s="577" t="n"/>
      <c r="J13" s="577" t="n"/>
      <c r="K13" s="577" t="n"/>
      <c r="L13" s="577" t="n"/>
      <c r="M13" s="577" t="n"/>
      <c r="N13" s="576" t="n"/>
      <c r="O13" s="577" t="n"/>
      <c r="P13" s="577" t="n"/>
      <c r="Q13" s="577" t="n"/>
      <c r="R13" s="576" t="n"/>
    </row>
    <row r="14">
      <c r="A14" s="579" t="inlineStr">
        <is>
          <t>ยุทธศาสตร์ที่ 2</t>
        </is>
      </c>
      <c r="B14" s="579" t="inlineStr">
        <is>
          <t>วิจัยและนวัตกรรมเพื่อความยั่งยืน</t>
        </is>
      </c>
      <c r="C14" s="579" t="inlineStr">
        <is>
          <t>ยุทธศาสตร์ที่ 2 วิจัยและนวัตกรรมเพื่อความยั่งยืน</t>
        </is>
      </c>
      <c r="D14" s="569" t="inlineStr">
        <is>
          <t>วิจัยและนวัตกรรม เพื่อยกระดับความยั่งยืน ผ่านเครือข่ายการวิจัยเชิงบูรณาการระดับชาติ และนานาชาติ</t>
        </is>
      </c>
      <c r="E14" s="566" t="inlineStr">
        <is>
          <t>Z2</t>
        </is>
      </c>
      <c r="F14" s="571" t="inlineStr">
        <is>
          <t>มูลค่าผลกระทบทางเศรษฐกิจและสังคม (Socio-Economic Impact) ที่เกิดจากงานวิจัย</t>
        </is>
      </c>
      <c r="G14" s="571" t="inlineStr">
        <is>
          <t>Z2 มูลค่าผลกระทบทางเศรษฐกิจและสังคม (Socio-Economic Impact) ที่เกิดจากงานวิจัย</t>
        </is>
      </c>
      <c r="H14" s="570" t="inlineStr">
        <is>
          <t>P2.2</t>
        </is>
      </c>
      <c r="I14" s="569" t="inlineStr">
        <is>
          <t>ส่งเสริมงานวิจัยและนวัตกรรมเพื่อสร้างคุณค่า</t>
        </is>
      </c>
      <c r="J14" s="569" t="inlineStr">
        <is>
          <t>P2.2 ส่งเสริมงานวิจัยและนวัตกรรมเพื่อสร้างคุณค่า</t>
        </is>
      </c>
      <c r="K14" s="569" t="inlineStr">
        <is>
          <t xml:space="preserve">เสริมสร้างงานวิจัยและนวัตกรรมที่ก่อให้เกิดคุณค่า และการใช้ประโยชน์อย่างแท้จริง </t>
        </is>
      </c>
      <c r="L14" s="570" t="inlineStr">
        <is>
          <t>Y2.1</t>
        </is>
      </c>
      <c r="M14" s="569" t="inlineStr">
        <is>
          <t xml:space="preserve">อัตราการเพิ่มขึ้นของผลงานวิจัยและนวัตกรรมที่มีการนำไปใช้ประโยชน์ </t>
        </is>
      </c>
      <c r="N14" s="571" t="inlineStr">
        <is>
          <t xml:space="preserve">Y2.1 อัตราการเพิ่มขึ้นของผลงานวิจัยและนวัตกรรมที่มีการนำไปใช้ประโยชน์ </t>
        </is>
      </c>
      <c r="O14" s="569" t="inlineStr">
        <is>
          <t>กลยุทธ์ 2.1 พัฒนางานวิจัยและนวัตกรรม เพื่อสร้างคุณค่า</t>
        </is>
      </c>
      <c r="P14" s="570" t="inlineStr">
        <is>
          <t>X2.1</t>
        </is>
      </c>
      <c r="Q14" s="569" t="inlineStr">
        <is>
          <t>อัตราการอ้างอิงของผลงานที่ได้รับการตีพิมพ์ในฐาน Scopus</t>
        </is>
      </c>
      <c r="R14" s="571" t="inlineStr">
        <is>
          <t>X2.1 อัตราการอ้างอิงของผลงานที่ได้รับการตีพิมพ์ในฐาน Scopus</t>
        </is>
      </c>
    </row>
    <row r="15">
      <c r="A15" s="579" t="inlineStr">
        <is>
          <t>ยุทธศาสตร์ที่ 2</t>
        </is>
      </c>
      <c r="B15" s="579" t="inlineStr">
        <is>
          <t>วิจัยและนวัตกรรมเพื่อความยั่งยืน</t>
        </is>
      </c>
      <c r="C15" s="579" t="inlineStr">
        <is>
          <t>ยุทธศาสตร์ที่ 2 วิจัยและนวัตกรรมเพื่อความยั่งยืน</t>
        </is>
      </c>
      <c r="D15" s="569" t="inlineStr">
        <is>
          <t>วิจัยและนวัตกรรม เพื่อยกระดับความยั่งยืน ผ่านเครือข่ายการวิจัยเชิงบูรณาการระดับชาติ และนานาชาติ</t>
        </is>
      </c>
      <c r="E15" s="566" t="inlineStr">
        <is>
          <t>Z2</t>
        </is>
      </c>
      <c r="F15" s="571" t="inlineStr">
        <is>
          <t>มูลค่าผลกระทบทางเศรษฐกิจและสังคม (Socio-Economic Impact) ที่เกิดจากงานวิจัย</t>
        </is>
      </c>
      <c r="G15" s="571" t="inlineStr">
        <is>
          <t>Z2 มูลค่าผลกระทบทางเศรษฐกิจและสังคม (Socio-Economic Impact) ที่เกิดจากงานวิจัย</t>
        </is>
      </c>
      <c r="H15" s="570" t="inlineStr">
        <is>
          <t>P2.2</t>
        </is>
      </c>
      <c r="I15" s="569" t="inlineStr">
        <is>
          <t>ส่งเสริมงานวิจัยและนวัตกรรมเพื่อสร้างคุณค่า</t>
        </is>
      </c>
      <c r="J15" s="569" t="inlineStr">
        <is>
          <t>P2.2 ส่งเสริมงานวิจัยและนวัตกรรมเพื่อสร้างคุณค่า</t>
        </is>
      </c>
      <c r="K15" s="569" t="inlineStr">
        <is>
          <t xml:space="preserve">เสริมสร้างงานวิจัยและนวัตกรรมที่ก่อให้เกิดคุณค่า และการใช้ประโยชน์อย่างแท้จริง </t>
        </is>
      </c>
      <c r="L15" s="570" t="inlineStr">
        <is>
          <t>Y2.1</t>
        </is>
      </c>
      <c r="M15" s="569" t="inlineStr">
        <is>
          <t xml:space="preserve">อัตราการเพิ่มขึ้นของผลงานวิจัยและนวัตกรรมที่มีการนำไปใช้ประโยชน์ </t>
        </is>
      </c>
      <c r="N15" s="571" t="inlineStr">
        <is>
          <t xml:space="preserve">Y2.1 อัตราการเพิ่มขึ้นของผลงานวิจัยและนวัตกรรมที่มีการนำไปใช้ประโยชน์ </t>
        </is>
      </c>
      <c r="O15" s="569" t="inlineStr">
        <is>
          <t>กลยุทธ์ 2.1 พัฒนางานวิจัยและนวัตกรรม เพื่อสร้างคุณค่า</t>
        </is>
      </c>
      <c r="P15" s="570" t="inlineStr">
        <is>
          <t>X2.2</t>
        </is>
      </c>
      <c r="Q15" s="569" t="inlineStr">
        <is>
          <t>ร้อยละโครงการวิจัยที่พัฒนาโจทย์ร่วมกับผู้ใช้ประโยชน์ (Co-creation)</t>
        </is>
      </c>
      <c r="R15" s="571" t="inlineStr">
        <is>
          <t>X2.2 ร้อยละโครงการวิจัยที่พัฒนาโจทย์ร่วมกับผู้ใช้ประโยชน์ (Co-creation)</t>
        </is>
      </c>
    </row>
    <row r="16">
      <c r="A16" s="579" t="inlineStr">
        <is>
          <t>ยุทธศาสตร์ที่ 2</t>
        </is>
      </c>
      <c r="B16" s="579" t="inlineStr">
        <is>
          <t>วิจัยและนวัตกรรมเพื่อความยั่งยืน</t>
        </is>
      </c>
      <c r="C16" s="579" t="inlineStr">
        <is>
          <t>ยุทธศาสตร์ที่ 2 วิจัยและนวัตกรรมเพื่อความยั่งยืน</t>
        </is>
      </c>
      <c r="D16" s="569" t="inlineStr">
        <is>
          <t>วิจัยและนวัตกรรม เพื่อยกระดับความยั่งยืน ผ่านเครือข่ายการวิจัยเชิงบูรณาการระดับชาติ และนานาชาติ</t>
        </is>
      </c>
      <c r="E16" s="566" t="inlineStr">
        <is>
          <t>Z2</t>
        </is>
      </c>
      <c r="F16" s="571" t="inlineStr">
        <is>
          <t>มูลค่าผลกระทบทางเศรษฐกิจและสังคม (Socio-Economic Impact) ที่เกิดจากงานวิจัย</t>
        </is>
      </c>
      <c r="G16" s="571" t="inlineStr">
        <is>
          <t>Z2 มูลค่าผลกระทบทางเศรษฐกิจและสังคม (Socio-Economic Impact) ที่เกิดจากงานวิจัย</t>
        </is>
      </c>
      <c r="H16" s="570" t="inlineStr">
        <is>
          <t>P2.2</t>
        </is>
      </c>
      <c r="I16" s="569" t="inlineStr">
        <is>
          <t>ส่งเสริมงานวิจัยและนวัตกรรมเพื่อสร้างคุณค่า</t>
        </is>
      </c>
      <c r="J16" s="569" t="inlineStr">
        <is>
          <t>P2.2 ส่งเสริมงานวิจัยและนวัตกรรมเพื่อสร้างคุณค่า</t>
        </is>
      </c>
      <c r="K16" s="569" t="inlineStr">
        <is>
          <t xml:space="preserve">เสริมสร้างงานวิจัยและนวัตกรรมที่ก่อให้เกิดคุณค่า และการใช้ประโยชน์อย่างแท้จริง </t>
        </is>
      </c>
      <c r="L16" s="570" t="inlineStr">
        <is>
          <t>Y2.1</t>
        </is>
      </c>
      <c r="M16" s="569" t="inlineStr">
        <is>
          <t xml:space="preserve">อัตราการเพิ่มขึ้นของผลงานวิจัยและนวัตกรรมที่มีการนำไปใช้ประโยชน์ </t>
        </is>
      </c>
      <c r="N16" s="571" t="inlineStr">
        <is>
          <t xml:space="preserve">Y2.1 อัตราการเพิ่มขึ้นของผลงานวิจัยและนวัตกรรมที่มีการนำไปใช้ประโยชน์ </t>
        </is>
      </c>
      <c r="O16" s="569" t="inlineStr">
        <is>
          <t>กลยุทธ์ 2.1 พัฒนางานวิจัยและนวัตกรรม เพื่อสร้างคุณค่า</t>
        </is>
      </c>
      <c r="P16" s="570" t="inlineStr">
        <is>
          <t>X2.3</t>
        </is>
      </c>
      <c r="Q16" s="569" t="inlineStr">
        <is>
          <t>สัดส่วนผลงานตีพิมพ์ระดับนานาชาติในฐานข้อมูล Scopus</t>
        </is>
      </c>
      <c r="R16" s="571" t="inlineStr">
        <is>
          <t>X2.3 สัดส่วนผลงานตีพิมพ์ระดับนานาชาติในฐานข้อมูล Scopus</t>
        </is>
      </c>
    </row>
    <row r="17">
      <c r="A17" s="579" t="inlineStr">
        <is>
          <t>ยุทธศาสตร์ที่ 2</t>
        </is>
      </c>
      <c r="B17" s="579" t="inlineStr">
        <is>
          <t>วิจัยและนวัตกรรมเพื่อความยั่งยืน</t>
        </is>
      </c>
      <c r="C17" s="579" t="inlineStr">
        <is>
          <t>ยุทธศาสตร์ที่ 2 วิจัยและนวัตกรรมเพื่อความยั่งยืน</t>
        </is>
      </c>
      <c r="D17" s="569" t="inlineStr">
        <is>
          <t>วิจัยและนวัตกรรม เพื่อยกระดับความยั่งยืน ผ่านเครือข่ายการวิจัยเชิงบูรณาการระดับชาติ และนานาชาติ</t>
        </is>
      </c>
      <c r="E17" s="566" t="inlineStr">
        <is>
          <t>Z2</t>
        </is>
      </c>
      <c r="F17" s="571" t="inlineStr">
        <is>
          <t>มูลค่าผลกระทบทางเศรษฐกิจและสังคม (Socio-Economic Impact) ที่เกิดจากงานวิจัย</t>
        </is>
      </c>
      <c r="G17" s="571" t="inlineStr">
        <is>
          <t>Z2 มูลค่าผลกระทบทางเศรษฐกิจและสังคม (Socio-Economic Impact) ที่เกิดจากงานวิจัย</t>
        </is>
      </c>
      <c r="H17" s="570" t="inlineStr">
        <is>
          <t>P2.2</t>
        </is>
      </c>
      <c r="I17" s="569" t="inlineStr">
        <is>
          <t>ส่งเสริมงานวิจัยและนวัตกรรมเพื่อสร้างคุณค่า</t>
        </is>
      </c>
      <c r="J17" s="569" t="inlineStr">
        <is>
          <t>P2.2 ส่งเสริมงานวิจัยและนวัตกรรมเพื่อสร้างคุณค่า</t>
        </is>
      </c>
      <c r="K17" s="569" t="inlineStr">
        <is>
          <t xml:space="preserve">เสริมสร้างงานวิจัยและนวัตกรรมที่ก่อให้เกิดคุณค่า และการใช้ประโยชน์อย่างแท้จริง </t>
        </is>
      </c>
      <c r="L17" s="570" t="inlineStr">
        <is>
          <t>Y2.2</t>
        </is>
      </c>
      <c r="M17" s="569" t="inlineStr">
        <is>
          <t>อัตราเพิ่มขึ้นของรายได้จากผลผลิตของงานวิจัยและนวัตกรรม</t>
        </is>
      </c>
      <c r="N17" s="571" t="inlineStr">
        <is>
          <t>Y2.2 อัตราเพิ่มขึ้นของรายได้จากผลผลิตของงานวิจัยและนวัตกรรม</t>
        </is>
      </c>
      <c r="O17" s="569" t="inlineStr">
        <is>
          <t>กลยุทธ์ 2.2 ขับเคลื่อนการสร้างรายได้เชิงพาณิชย์จากงานวิจัย</t>
        </is>
      </c>
      <c r="P17" s="570" t="inlineStr">
        <is>
          <t>X2.4</t>
        </is>
      </c>
      <c r="Q17" s="569" t="inlineStr">
        <is>
          <t>ร้อยละการแปลงผลงานวิจัยและนวัตกรรมสู่การใช้ประโยชน์เชิงพาณิชย์</t>
        </is>
      </c>
      <c r="R17" s="571" t="inlineStr">
        <is>
          <t>X2.4 ร้อยละการแปลงผลงานวิจัยและนวัตกรรมสู่การใช้ประโยชน์เชิงพาณิชย์</t>
        </is>
      </c>
    </row>
    <row r="18">
      <c r="A18" s="579" t="inlineStr">
        <is>
          <t>ยุทธศาสตร์ที่ 2</t>
        </is>
      </c>
      <c r="B18" s="579" t="inlineStr">
        <is>
          <t>วิจัยและนวัตกรรมเพื่อความยั่งยืน</t>
        </is>
      </c>
      <c r="C18" s="579" t="inlineStr">
        <is>
          <t>ยุทธศาสตร์ที่ 2 วิจัยและนวัตกรรมเพื่อความยั่งยืน</t>
        </is>
      </c>
      <c r="D18" s="569" t="inlineStr">
        <is>
          <t>วิจัยและนวัตกรรม เพื่อยกระดับความยั่งยืน ผ่านเครือข่ายการวิจัยเชิงบูรณาการระดับชาติ และนานาชาติ</t>
        </is>
      </c>
      <c r="E18" s="566" t="inlineStr">
        <is>
          <t>Z2</t>
        </is>
      </c>
      <c r="F18" s="571" t="inlineStr">
        <is>
          <t>มูลค่าผลกระทบทางเศรษฐกิจและสังคม (Socio-Economic Impact) ที่เกิดจากงานวิจัย</t>
        </is>
      </c>
      <c r="G18" s="571" t="inlineStr">
        <is>
          <t>Z2 มูลค่าผลกระทบทางเศรษฐกิจและสังคม (Socio-Economic Impact) ที่เกิดจากงานวิจัย</t>
        </is>
      </c>
      <c r="H18" s="570" t="inlineStr">
        <is>
          <t>P2.2</t>
        </is>
      </c>
      <c r="I18" s="569" t="inlineStr">
        <is>
          <t>ส่งเสริมงานวิจัยและนวัตกรรมเพื่อสร้างคุณค่า</t>
        </is>
      </c>
      <c r="J18" s="569" t="inlineStr">
        <is>
          <t>P2.2 ส่งเสริมงานวิจัยและนวัตกรรมเพื่อสร้างคุณค่า</t>
        </is>
      </c>
      <c r="K18" s="569" t="inlineStr">
        <is>
          <t xml:space="preserve">เสริมสร้างงานวิจัยและนวัตกรรมที่ก่อให้เกิดคุณค่า และการใช้ประโยชน์อย่างแท้จริง </t>
        </is>
      </c>
      <c r="L18" s="570" t="inlineStr">
        <is>
          <t>Y2.1</t>
        </is>
      </c>
      <c r="M18" s="569" t="inlineStr">
        <is>
          <t xml:space="preserve">อัตราการเพิ่มขึ้นของผลงานวิจัยและนวัตกรรมที่มีการนำไปใช้ประโยชน์ </t>
        </is>
      </c>
      <c r="N18" s="571" t="inlineStr">
        <is>
          <t xml:space="preserve">Y2.1 อัตราการเพิ่มขึ้นของผลงานวิจัยและนวัตกรรมที่มีการนำไปใช้ประโยชน์ </t>
        </is>
      </c>
      <c r="O18" s="569" t="inlineStr">
        <is>
          <t>กลยุทธ์ 2.3 ส่งเสริมระบบนิเวศวิจัยและนวัตกรรมที่ยั่งยืน (Research Ecosystem)</t>
        </is>
      </c>
      <c r="P18" s="570" t="inlineStr">
        <is>
          <t>X2.5</t>
        </is>
      </c>
      <c r="Q18" s="569" t="inlineStr">
        <is>
          <t>จำนวนเงินทุนวิจัยจากแหล่งทุนภายนอก</t>
        </is>
      </c>
      <c r="R18" s="571" t="inlineStr">
        <is>
          <t>X2.5 จำนวนเงินทุนวิจัยจากแหล่งทุนภายนอก</t>
        </is>
      </c>
    </row>
    <row r="19">
      <c r="A19" s="579" t="inlineStr">
        <is>
          <t>ยุทธศาสตร์ที่ 2</t>
        </is>
      </c>
      <c r="B19" s="579" t="inlineStr">
        <is>
          <t>วิจัยและนวัตกรรมเพื่อความยั่งยืน</t>
        </is>
      </c>
      <c r="C19" s="579" t="inlineStr">
        <is>
          <t>ยุทธศาสตร์ที่ 2 วิจัยและนวัตกรรมเพื่อความยั่งยืน</t>
        </is>
      </c>
      <c r="D19" s="569" t="inlineStr">
        <is>
          <t>วิจัยและนวัตกรรม เพื่อยกระดับความยั่งยืน ผ่านเครือข่ายการวิจัยเชิงบูรณาการระดับชาติ และนานาชาติ</t>
        </is>
      </c>
      <c r="E19" s="566" t="inlineStr">
        <is>
          <t>Z2</t>
        </is>
      </c>
      <c r="F19" s="571" t="inlineStr">
        <is>
          <t>มูลค่าผลกระทบทางเศรษฐกิจและสังคม (Socio-Economic Impact) ที่เกิดจากงานวิจัย</t>
        </is>
      </c>
      <c r="G19" s="571" t="inlineStr">
        <is>
          <t>Z2 มูลค่าผลกระทบทางเศรษฐกิจและสังคม (Socio-Economic Impact) ที่เกิดจากงานวิจัย</t>
        </is>
      </c>
      <c r="H19" s="570" t="inlineStr">
        <is>
          <t>P2.2</t>
        </is>
      </c>
      <c r="I19" s="569" t="inlineStr">
        <is>
          <t>ส่งเสริมงานวิจัยและนวัตกรรมเพื่อสร้างคุณค่า</t>
        </is>
      </c>
      <c r="J19" s="569" t="inlineStr">
        <is>
          <t>P2.2 ส่งเสริมงานวิจัยและนวัตกรรมเพื่อสร้างคุณค่า</t>
        </is>
      </c>
      <c r="K19" s="569" t="inlineStr">
        <is>
          <t xml:space="preserve">เสริมสร้างงานวิจัยและนวัตกรรมที่ก่อให้เกิดคุณค่า และการใช้ประโยชน์อย่างแท้จริง </t>
        </is>
      </c>
      <c r="L19" s="570" t="inlineStr">
        <is>
          <t>Y2.1</t>
        </is>
      </c>
      <c r="M19" s="569" t="inlineStr">
        <is>
          <t xml:space="preserve">อัตราการเพิ่มขึ้นของผลงานวิจัยและนวัตกรรมที่มีการนำไปใช้ประโยชน์ </t>
        </is>
      </c>
      <c r="N19" s="571" t="inlineStr">
        <is>
          <t xml:space="preserve">Y2.1 อัตราการเพิ่มขึ้นของผลงานวิจัยและนวัตกรรมที่มีการนำไปใช้ประโยชน์ </t>
        </is>
      </c>
      <c r="O19" s="569" t="inlineStr">
        <is>
          <t>กลยุทธ์ 2.3 ส่งเสริมระบบนิเวศวิจัยและนวัตกรรมที่ยั่งยืน (Research Ecosystem)</t>
        </is>
      </c>
      <c r="P19" s="570" t="inlineStr">
        <is>
          <t>X2.6</t>
        </is>
      </c>
      <c r="Q19" s="569" t="inlineStr">
        <is>
          <t>ร้อยละนักวิจัยที่มีสมรรถนะสูง</t>
        </is>
      </c>
      <c r="R19" s="571" t="inlineStr">
        <is>
          <t>X2.6 ร้อยละนักวิจัยที่มีสมรรถนะสูง</t>
        </is>
      </c>
    </row>
    <row r="20">
      <c r="A20" s="579" t="inlineStr">
        <is>
          <t>ยุทธศาสตร์ที่ 2</t>
        </is>
      </c>
      <c r="B20" s="579" t="inlineStr">
        <is>
          <t>วิจัยและนวัตกรรมเพื่อความยั่งยืน</t>
        </is>
      </c>
      <c r="C20" s="579" t="inlineStr">
        <is>
          <t>ยุทธศาสตร์ที่ 2 วิจัยและนวัตกรรมเพื่อความยั่งยืน</t>
        </is>
      </c>
      <c r="D20" s="569" t="inlineStr">
        <is>
          <t>วิจัยและนวัตกรรม เพื่อยกระดับความยั่งยืน ผ่านเครือข่ายการวิจัยเชิงบูรณาการระดับชาติ และนานาชาติ</t>
        </is>
      </c>
      <c r="E20" s="566" t="inlineStr">
        <is>
          <t>Z2</t>
        </is>
      </c>
      <c r="F20" s="571" t="inlineStr">
        <is>
          <t>มูลค่าผลกระทบทางเศรษฐกิจและสังคม (Socio-Economic Impact) ที่เกิดจากงานวิจัย</t>
        </is>
      </c>
      <c r="G20" s="571" t="inlineStr">
        <is>
          <t>Z2 มูลค่าผลกระทบทางเศรษฐกิจและสังคม (Socio-Economic Impact) ที่เกิดจากงานวิจัย</t>
        </is>
      </c>
      <c r="H20" s="570" t="inlineStr">
        <is>
          <t>P2.2</t>
        </is>
      </c>
      <c r="I20" s="569" t="inlineStr">
        <is>
          <t>ส่งเสริมงานวิจัยและนวัตกรรมเพื่อสร้างคุณค่า</t>
        </is>
      </c>
      <c r="J20" s="569" t="inlineStr">
        <is>
          <t>P2.2 ส่งเสริมงานวิจัยและนวัตกรรมเพื่อสร้างคุณค่า</t>
        </is>
      </c>
      <c r="K20" s="569" t="inlineStr">
        <is>
          <t xml:space="preserve">เสริมสร้างงานวิจัยและนวัตกรรมที่ก่อให้เกิดคุณค่า และการใช้ประโยชน์อย่างแท้จริง </t>
        </is>
      </c>
      <c r="L20" s="570" t="inlineStr">
        <is>
          <t>Y2.1</t>
        </is>
      </c>
      <c r="M20" s="569" t="inlineStr">
        <is>
          <t xml:space="preserve">อัตราการเพิ่มขึ้นของผลงานวิจัยและนวัตกรรมที่มีการนำไปใช้ประโยชน์ </t>
        </is>
      </c>
      <c r="N20" s="571" t="inlineStr">
        <is>
          <t xml:space="preserve">Y2.1 อัตราการเพิ่มขึ้นของผลงานวิจัยและนวัตกรรมที่มีการนำไปใช้ประโยชน์ </t>
        </is>
      </c>
      <c r="O20" s="569" t="inlineStr">
        <is>
          <t>กลยุทธ์ 2.4 ขยายเครือข่ายความร่วมมือด้านวิจัยและนวัตกรรม</t>
        </is>
      </c>
      <c r="P20" s="570" t="inlineStr">
        <is>
          <t>X2.7</t>
        </is>
      </c>
      <c r="Q20" s="569" t="inlineStr">
        <is>
          <t>ร้อยละผลงานทางวิชาการตีพิมพ์ร่วมกับนักวิจัยสถาบันต่างประเทศ (Co-authorship)</t>
        </is>
      </c>
      <c r="R20" s="571" t="inlineStr">
        <is>
          <t>X2.7 ร้อยละผลงานทางวิชาการตีพิมพ์ร่วมกับนักวิจัยสถาบันต่างประเทศ (Co-authorship)</t>
        </is>
      </c>
    </row>
    <row r="21">
      <c r="A21" s="581" t="n"/>
      <c r="B21" s="581" t="n"/>
      <c r="C21" s="581" t="n"/>
      <c r="D21" s="577" t="n"/>
      <c r="E21" s="575" t="n"/>
      <c r="F21" s="576" t="n"/>
      <c r="G21" s="576" t="n"/>
      <c r="H21" s="577" t="n"/>
      <c r="I21" s="577" t="n"/>
      <c r="J21" s="577" t="n"/>
      <c r="K21" s="577" t="n"/>
      <c r="L21" s="577" t="n"/>
      <c r="M21" s="577" t="n"/>
      <c r="N21" s="576" t="n"/>
      <c r="O21" s="577" t="n"/>
      <c r="P21" s="577" t="n"/>
      <c r="Q21" s="577" t="n"/>
      <c r="R21" s="576" t="n"/>
    </row>
    <row r="22">
      <c r="A22" s="583" t="inlineStr">
        <is>
          <t>ยุทธศาสตร์ที่ 3</t>
        </is>
      </c>
      <c r="B22" s="583" t="inlineStr">
        <is>
          <t>บริการวิชาการเพื่อความเป็นอยู่ที่ดี</t>
        </is>
      </c>
      <c r="C22" s="583" t="inlineStr">
        <is>
          <t>ยุทธศาสตร์ที่ 3 บริการวิชาการเพื่อความเป็นอยู่ที่ดี</t>
        </is>
      </c>
      <c r="D22" s="569" t="inlineStr">
        <is>
          <t>เสริมสร้างความเข้มแข็งและการมีส่วนร่วมของชุมชนในการพัฒนาอย่างยั่งยืนและส่งเสริมการพึ่งพาตนเองด้านการเงินของมหาวิทยาลัยในระยะยาว</t>
        </is>
      </c>
      <c r="E22" s="566" t="inlineStr">
        <is>
          <t>Z3</t>
        </is>
      </c>
      <c r="F22" s="571" t="inlineStr">
        <is>
          <t>มูลค่าผลกระทบทางเศรษฐกิจและสังคม (Socio-Economic Impact) ที่เกิดจากงานบริการวิชาการ</t>
        </is>
      </c>
      <c r="G22" s="571" t="inlineStr">
        <is>
          <t>Z3 มูลค่าผลกระทบทางเศรษฐกิจและสังคม (Socio-Economic Impact) ที่เกิดจากงานบริการวิชาการ</t>
        </is>
      </c>
      <c r="H22" s="570" t="inlineStr">
        <is>
          <t>P3.1</t>
        </is>
      </c>
      <c r="I22" s="569" t="inlineStr">
        <is>
          <t>เสริมสร้างความเข้มแข็งของสังคมและชุมชนเพื่อความยั่งยืน</t>
        </is>
      </c>
      <c r="J22" s="569" t="inlineStr">
        <is>
          <t>P3.1 เสริมสร้างความเข้มแข็งของสังคมและชุมชนเพื่อความยั่งยืน</t>
        </is>
      </c>
      <c r="K22" s="569" t="inlineStr">
        <is>
          <t>บูรณาการองค์ความรู้และนวัตกรรมเพื่อเสริมศักยภาพการพึ่งพาตนเองของชุมชนมุ่งสู่การเป็นชุมชนต้นแบบที่เข้มแข็งและยั่งยืน</t>
        </is>
      </c>
      <c r="L22" s="570" t="inlineStr">
        <is>
          <t>Y3.1</t>
        </is>
      </c>
      <c r="M22" s="569" t="inlineStr">
        <is>
          <t>ร้อยละของชุมชนเป้าหมายที่มีศักยภาพการพึ่งพาตนเอง</t>
        </is>
      </c>
      <c r="N22" s="571" t="inlineStr">
        <is>
          <t>Y3.1 ร้อยละของชุมชนเป้าหมายที่มีศักยภาพการพึ่งพาตนเอง</t>
        </is>
      </c>
      <c r="O22" s="569" t="inlineStr">
        <is>
          <t>กลยุทธ์ 3.1 ขับเคลื่อนการบูรณาการองค์ความรู้และนวัตกรรมเพื่อเสริมสร้างศักยภาพชุมชน</t>
        </is>
      </c>
      <c r="P22" s="570" t="inlineStr">
        <is>
          <t>X3.1</t>
        </is>
      </c>
      <c r="Q22" s="569" t="inlineStr">
        <is>
          <t>ร้อยละความก้าวหน้าศักยภาพการพึ่งพาตนเองของชุมชนเป้าหมาย</t>
        </is>
      </c>
      <c r="R22" s="571" t="inlineStr">
        <is>
          <t>X3.1 ร้อยละความก้าวหน้าศักยภาพการพึ่งพาตนเองของชุมชนเป้าหมาย</t>
        </is>
      </c>
    </row>
    <row r="23">
      <c r="A23" s="583" t="inlineStr">
        <is>
          <t>ยุทธศาสตร์ที่ 3</t>
        </is>
      </c>
      <c r="B23" s="583" t="inlineStr">
        <is>
          <t>บริการวิชาการเพื่อความเป็นอยู่ที่ดี</t>
        </is>
      </c>
      <c r="C23" s="583" t="inlineStr">
        <is>
          <t>ยุทธศาสตร์ที่ 3 บริการวิชาการเพื่อความเป็นอยู่ที่ดี</t>
        </is>
      </c>
      <c r="D23" s="569" t="inlineStr">
        <is>
          <t>เสริมสร้างความเข้มแข็งและการมีส่วนร่วมของชุมชนในการพัฒนาอย่างยั่งยืนและส่งเสริมการพึ่งพาตนเองด้านการเงินของมหาวิทยาลัยในระยะยาว</t>
        </is>
      </c>
      <c r="E23" s="566" t="inlineStr">
        <is>
          <t>Z3</t>
        </is>
      </c>
      <c r="F23" s="571" t="inlineStr">
        <is>
          <t>มูลค่าผลกระทบทางเศรษฐกิจและสังคม (Socio-Economic Impact) ที่เกิดจากงานบริการวิชาการ</t>
        </is>
      </c>
      <c r="G23" s="571" t="inlineStr">
        <is>
          <t>Z3 มูลค่าผลกระทบทางเศรษฐกิจและสังคม (Socio-Economic Impact) ที่เกิดจากงานบริการวิชาการ</t>
        </is>
      </c>
      <c r="H23" s="570" t="inlineStr">
        <is>
          <t>P3.1</t>
        </is>
      </c>
      <c r="I23" s="569" t="inlineStr">
        <is>
          <t>เสริมสร้างความเข้มแข็งของสังคมและชุมชนเพื่อความยั่งยืน</t>
        </is>
      </c>
      <c r="J23" s="569" t="inlineStr">
        <is>
          <t>P3.1 เสริมสร้างความเข้มแข็งของสังคมและชุมชนเพื่อความยั่งยืน</t>
        </is>
      </c>
      <c r="K23" s="569" t="inlineStr">
        <is>
          <t>บูรณาการองค์ความรู้และนวัตกรรมเพื่อเสริมศักยภาพการพึ่งพาตนเองของชุมชนมุ่งสู่การเป็นชุมชนต้นแบบที่เข้มแข็งและยั่งยืน</t>
        </is>
      </c>
      <c r="L23" s="570" t="inlineStr">
        <is>
          <t>Y3.1</t>
        </is>
      </c>
      <c r="M23" s="569" t="inlineStr">
        <is>
          <t>ร้อยละของชุมชนเป้าหมายที่มีศักยภาพการพึ่งพาตนเอง</t>
        </is>
      </c>
      <c r="N23" s="571" t="inlineStr">
        <is>
          <t>Y3.1 ร้อยละของชุมชนเป้าหมายที่มีศักยภาพการพึ่งพาตนเอง</t>
        </is>
      </c>
      <c r="O23" s="569" t="inlineStr">
        <is>
          <t>กลยุทธ์ 3.2 พัฒนาเครือข่ายความร่วมมือเพื่อการพัฒนาอย่างยั่งยืน</t>
        </is>
      </c>
      <c r="P23" s="570" t="inlineStr">
        <is>
          <t>X3.2</t>
        </is>
      </c>
      <c r="Q23" s="569" t="inlineStr">
        <is>
          <t>ร้อยละของโครงการบริการวิชาการที่มีเครือข่ายความร่วมมือเชิงประจักษ์</t>
        </is>
      </c>
      <c r="R23" s="571" t="inlineStr">
        <is>
          <t>X3.2 ร้อยละของโครงการบริการวิชาการที่มีเครือข่ายความร่วมมือเชิงประจักษ์</t>
        </is>
      </c>
    </row>
    <row r="24">
      <c r="A24" s="583" t="inlineStr">
        <is>
          <t>ยุทธศาสตร์ที่ 3</t>
        </is>
      </c>
      <c r="B24" s="583" t="inlineStr">
        <is>
          <t>บริการวิชาการเพื่อความเป็นอยู่ที่ดี</t>
        </is>
      </c>
      <c r="C24" s="583" t="inlineStr">
        <is>
          <t>ยุทธศาสตร์ที่ 3 บริการวิชาการเพื่อความเป็นอยู่ที่ดี</t>
        </is>
      </c>
      <c r="D24" s="569" t="inlineStr">
        <is>
          <t>เสริมสร้างความเข้มแข็งและการมีส่วนร่วมของชุมชนในการพัฒนาอย่างยั่งยืนและส่งเสริมการพึ่งพาตนเองด้านการเงินของมหาวิทยาลัยในระยะยาว</t>
        </is>
      </c>
      <c r="E24" s="566" t="inlineStr">
        <is>
          <t>Z3</t>
        </is>
      </c>
      <c r="F24" s="571" t="inlineStr">
        <is>
          <t>มูลค่าผลกระทบทางเศรษฐกิจและสังคม (Socio-Economic Impact) ที่เกิดจากงานบริการวิชาการ</t>
        </is>
      </c>
      <c r="G24" s="571" t="inlineStr">
        <is>
          <t>Z3 มูลค่าผลกระทบทางเศรษฐกิจและสังคม (Socio-Economic Impact) ที่เกิดจากงานบริการวิชาการ</t>
        </is>
      </c>
      <c r="H24" s="570" t="inlineStr">
        <is>
          <t>P3.1</t>
        </is>
      </c>
      <c r="I24" s="569" t="inlineStr">
        <is>
          <t>เสริมสร้างความเข้มแข็งของสังคมและชุมชนเพื่อความยั่งยืน</t>
        </is>
      </c>
      <c r="J24" s="569" t="inlineStr">
        <is>
          <t>P3.1 เสริมสร้างความเข้มแข็งของสังคมและชุมชนเพื่อความยั่งยืน</t>
        </is>
      </c>
      <c r="K24" s="569" t="inlineStr">
        <is>
          <t>บูรณาการองค์ความรู้และนวัตกรรมเพื่อเสริมศักยภาพการพึ่งพาตนเองของชุมชนมุ่งสู่การเป็นชุมชนต้นแบบที่เข้มแข็งและยั่งยืน</t>
        </is>
      </c>
      <c r="L24" s="570" t="inlineStr">
        <is>
          <t>Y3.1</t>
        </is>
      </c>
      <c r="M24" s="569" t="inlineStr">
        <is>
          <t>ร้อยละของชุมชนเป้าหมายที่มีศักยภาพการพึ่งพาตนเอง</t>
        </is>
      </c>
      <c r="N24" s="571" t="inlineStr">
        <is>
          <t>Y3.1 ร้อยละของชุมชนเป้าหมายที่มีศักยภาพการพึ่งพาตนเอง</t>
        </is>
      </c>
      <c r="O24" s="569" t="inlineStr">
        <is>
          <t>กลยุทธ์ 3.3 เสริมบทบาทมหาวิทยาลัยสู่การเป็นผู้นำทางความคิดและที่พึ่งของสังคม</t>
        </is>
      </c>
      <c r="P24" s="570" t="inlineStr">
        <is>
          <t>X3.3</t>
        </is>
      </c>
      <c r="Q24" s="569" t="inlineStr">
        <is>
          <t>ระดับการรับรู้และความเชื่อมั่นต่อบทบาทมหาวิทยาลัยในฐานะที่พึ่งของสังคม</t>
        </is>
      </c>
      <c r="R24" s="571" t="inlineStr">
        <is>
          <t>X3.3 ระดับการรับรู้และความเชื่อมั่นต่อบทบาทมหาวิทยาลัยในฐานะที่พึ่งของสังคม</t>
        </is>
      </c>
    </row>
    <row r="25">
      <c r="A25" s="583" t="inlineStr">
        <is>
          <t>ยุทธศาสตร์ที่ 3</t>
        </is>
      </c>
      <c r="B25" s="583" t="inlineStr">
        <is>
          <t>บริการวิชาการเพื่อความเป็นอยู่ที่ดี</t>
        </is>
      </c>
      <c r="C25" s="583" t="inlineStr">
        <is>
          <t>ยุทธศาสตร์ที่ 3 บริการวิชาการเพื่อความเป็นอยู่ที่ดี</t>
        </is>
      </c>
      <c r="D25" s="569" t="inlineStr">
        <is>
          <t>เสริมสร้างความเข้มแข็งและการมีส่วนร่วมของชุมชนในการพัฒนาอย่างยั่งยืนและส่งเสริมการพึ่งพาตนเองด้านการเงินของมหาวิทยาลัยในระยะยาว</t>
        </is>
      </c>
      <c r="E25" s="566" t="inlineStr">
        <is>
          <t>Z3</t>
        </is>
      </c>
      <c r="F25" s="571" t="inlineStr">
        <is>
          <t>มูลค่าผลกระทบทางเศรษฐกิจและสังคม (Socio-Economic Impact) ที่เกิดจากงานบริการวิชาการ</t>
        </is>
      </c>
      <c r="G25" s="571" t="inlineStr">
        <is>
          <t>Z3 มูลค่าผลกระทบทางเศรษฐกิจและสังคม (Socio-Economic Impact) ที่เกิดจากงานบริการวิชาการ</t>
        </is>
      </c>
      <c r="H25" s="570" t="inlineStr">
        <is>
          <t>P3.2</t>
        </is>
      </c>
      <c r="I25" s="569" t="inlineStr">
        <is>
          <t>ขับเคลื่อนงานบริการวิชาการเพื่อตอบสนองความต้องการของสังคม</t>
        </is>
      </c>
      <c r="J25" s="569" t="inlineStr">
        <is>
          <t>P3.2 ขับเคลื่อนงานบริการวิชาการเพื่อตอบสนองความต้องการของสังคม</t>
        </is>
      </c>
      <c r="K25" s="569" t="inlineStr">
        <is>
          <t>บริการวิชาการที่ตอบสนองต่อความต้องการของสังคมและผู้มีส่วนได้เสีย</t>
        </is>
      </c>
      <c r="L25" s="570" t="inlineStr">
        <is>
          <t>Y3.2</t>
        </is>
      </c>
      <c r="M25" s="569" t="inlineStr">
        <is>
          <t>อัตราการเพิ่มขึ้นของรายได้เหนือค่าใช้จ่ายจากการบริการวิชาการ</t>
        </is>
      </c>
      <c r="N25" s="571" t="inlineStr">
        <is>
          <t>Y3.2 อัตราการเพิ่มขึ้นของรายได้เหนือค่าใช้จ่ายจากการบริการวิชาการ</t>
        </is>
      </c>
      <c r="O25" s="569" t="inlineStr">
        <is>
          <t>กลยุทธ์ 3.4 ส่งเสริมบริการวิชาการที่ตอบสนองความต้องการ</t>
        </is>
      </c>
      <c r="P25" s="570" t="inlineStr">
        <is>
          <t>X3.4</t>
        </is>
      </c>
      <c r="Q25" s="569" t="inlineStr">
        <is>
          <t>ร้อยละหน่วยงานความเชี่ยวชาญเฉพาะทางที่หารายได้</t>
        </is>
      </c>
      <c r="R25" s="571" t="inlineStr">
        <is>
          <t>X3.4 ร้อยละหน่วยงานความเชี่ยวชาญเฉพาะทางที่หารายได้</t>
        </is>
      </c>
    </row>
    <row r="26">
      <c r="A26" s="585" t="n"/>
      <c r="B26" s="585" t="n"/>
      <c r="C26" s="585" t="n"/>
      <c r="D26" s="577" t="n"/>
      <c r="E26" s="575" t="n"/>
      <c r="F26" s="576" t="n"/>
      <c r="G26" s="576" t="n"/>
      <c r="H26" s="577" t="n"/>
      <c r="I26" s="577" t="n"/>
      <c r="J26" s="577" t="n"/>
      <c r="K26" s="577" t="n"/>
      <c r="L26" s="577" t="n"/>
      <c r="M26" s="577" t="n"/>
      <c r="N26" s="576" t="n"/>
      <c r="O26" s="577" t="n"/>
      <c r="P26" s="577" t="n"/>
      <c r="Q26" s="577" t="n"/>
      <c r="R26" s="576" t="n"/>
    </row>
    <row r="27">
      <c r="A27" s="587" t="inlineStr">
        <is>
          <t>ยุทธศาสตร์ที่ 4</t>
        </is>
      </c>
      <c r="B27" s="587" t="inlineStr">
        <is>
          <t>สร้างพลเมืองที่มีสุขภาพดี</t>
        </is>
      </c>
      <c r="C27" s="587" t="inlineStr">
        <is>
          <t>ยุทธศาสตร์ที่ 4 สร้างพลเมืองที่มีสุขภาพดี</t>
        </is>
      </c>
      <c r="D27" s="569" t="inlineStr">
        <is>
          <t>สร้างเสริมให้ประชาชนมีสุขภาพดี (Healthy Citizen) ผ่าน MFU Regional Wellness and Medical Center</t>
        </is>
      </c>
      <c r="E27" s="566" t="inlineStr">
        <is>
          <t>Z4</t>
        </is>
      </c>
      <c r="F27" s="571" t="inlineStr">
        <is>
          <t>ระดับความเป็นพลเมืองที่มีสุขภาพดี (Healthy Citizen Index)</t>
        </is>
      </c>
      <c r="G27" s="571" t="inlineStr">
        <is>
          <t>Z4 ระดับความเป็นพลเมืองที่มีสุขภาพดี (Healthy Citizen Index)</t>
        </is>
      </c>
      <c r="H27" s="570" t="inlineStr">
        <is>
          <t>P4.1</t>
        </is>
      </c>
      <c r="I27" s="569" t="inlineStr">
        <is>
          <t>พัฒนาและยกระดับการบริการทางการแพทย์</t>
        </is>
      </c>
      <c r="J27" s="569" t="inlineStr">
        <is>
          <t>P4.1 พัฒนาและยกระดับการบริการทางการแพทย์</t>
        </is>
      </c>
      <c r="K27" s="569" t="inlineStr">
        <is>
          <t>ประชาชนได้รับการบริการทางการแพทย์ที่มีคุณภาพ</t>
        </is>
      </c>
      <c r="L27" s="570" t="inlineStr">
        <is>
          <t>Y4.1</t>
        </is>
      </c>
      <c r="M27" s="569" t="inlineStr">
        <is>
          <t>ระดับความเชื่อมั่นที่มีต่อบริการทางการแพทย์</t>
        </is>
      </c>
      <c r="N27" s="571" t="inlineStr">
        <is>
          <t>Y4.1 ระดับความเชื่อมั่นที่มีต่อบริการทางการแพทย์</t>
        </is>
      </c>
      <c r="O27" s="569" t="inlineStr">
        <is>
          <t>กลยุทธ์ 4.1 ยกระดับคุณภาพและบริการทางการแพทย์ที่เป็นเลิศ</t>
        </is>
      </c>
      <c r="P27" s="570" t="inlineStr">
        <is>
          <t>X4.1</t>
        </is>
      </c>
      <c r="Q27" s="569" t="inlineStr">
        <is>
          <t>โรงพยาบาลศูนย์การแพทย์ ผ่านมาตรฐาน AHA</t>
        </is>
      </c>
      <c r="R27" s="571" t="inlineStr">
        <is>
          <t>X4.1 โรงพยาบาลศูนย์การแพทย์ ผ่านมาตรฐาน AHA</t>
        </is>
      </c>
    </row>
    <row r="28">
      <c r="A28" s="587" t="inlineStr">
        <is>
          <t>ยุทธศาสตร์ที่ 5</t>
        </is>
      </c>
      <c r="B28" s="587" t="inlineStr">
        <is>
          <t>สร้างพลเมืองที่มีสุขภาพดี</t>
        </is>
      </c>
      <c r="C28" s="587" t="inlineStr">
        <is>
          <t>ยุทธศาสตร์ที่ 4 สร้างพลเมืองที่มีสุขภาพดี</t>
        </is>
      </c>
      <c r="D28" s="569" t="inlineStr">
        <is>
          <t>สร้างเสริมให้ประชาชนมีสุขภาพดี (Healthy Citizen) ผ่าน MFU Regional Wellness and Medical Center</t>
        </is>
      </c>
      <c r="E28" s="566" t="inlineStr">
        <is>
          <t>Z4</t>
        </is>
      </c>
      <c r="F28" s="571" t="inlineStr">
        <is>
          <t>ระดับความเป็นพลเมืองที่มีสุขภาพดี (Healthy Citizen Index)</t>
        </is>
      </c>
      <c r="G28" s="571" t="inlineStr">
        <is>
          <t>Z4 ระดับความเป็นพลเมืองที่มีสุขภาพดี (Healthy Citizen Index)</t>
        </is>
      </c>
      <c r="H28" s="570" t="inlineStr">
        <is>
          <t>P4.1</t>
        </is>
      </c>
      <c r="I28" s="569" t="inlineStr">
        <is>
          <t>พัฒนาและยกระดับการบริการทางการแพทย์</t>
        </is>
      </c>
      <c r="J28" s="569" t="inlineStr">
        <is>
          <t>P4.1 พัฒนาและยกระดับการบริการทางการแพทย์</t>
        </is>
      </c>
      <c r="K28" s="569" t="inlineStr">
        <is>
          <t>ประชาชนได้รับการบริการทางการแพทย์ที่มีคุณภาพ</t>
        </is>
      </c>
      <c r="L28" s="570" t="inlineStr">
        <is>
          <t>Y4.1</t>
        </is>
      </c>
      <c r="M28" s="569" t="inlineStr">
        <is>
          <t>ระดับความเชื่อมั่นที่มีต่อบริการทางการแพทย์</t>
        </is>
      </c>
      <c r="N28" s="571" t="inlineStr">
        <is>
          <t>Y4.1 ระดับความเชื่อมั่นที่มีต่อบริการทางการแพทย์</t>
        </is>
      </c>
      <c r="O28" s="569" t="inlineStr">
        <is>
          <t>กลยุทธ์ 4.1 ยกระดับคุณภาพและบริการทางการแพทย์ที่เป็นเลิศ</t>
        </is>
      </c>
      <c r="P28" s="570" t="inlineStr">
        <is>
          <t>X4.2</t>
        </is>
      </c>
      <c r="Q28" s="569" t="inlineStr">
        <is>
          <t>คลินิกทันตกรรม ผ่านมาตรฐาน TDCA</t>
        </is>
      </c>
      <c r="R28" s="571" t="inlineStr">
        <is>
          <t>X4.2 คลินิกทันตกรรม ผ่านมาตรฐาน TDCA</t>
        </is>
      </c>
    </row>
    <row r="29">
      <c r="A29" s="587" t="inlineStr">
        <is>
          <t>ยุทธศาสตร์ที่ 6</t>
        </is>
      </c>
      <c r="B29" s="587" t="inlineStr">
        <is>
          <t>สร้างพลเมืองที่มีสุขภาพดี</t>
        </is>
      </c>
      <c r="C29" s="587" t="inlineStr">
        <is>
          <t>ยุทธศาสตร์ที่ 4 สร้างพลเมืองที่มีสุขภาพดี</t>
        </is>
      </c>
      <c r="D29" s="569" t="inlineStr">
        <is>
          <t>สร้างเสริมให้ประชาชนมีสุขภาพดี (Healthy Citizen) ผ่าน MFU Regional Wellness and Medical Center</t>
        </is>
      </c>
      <c r="E29" s="566" t="inlineStr">
        <is>
          <t>Z4</t>
        </is>
      </c>
      <c r="F29" s="571" t="inlineStr">
        <is>
          <t>ระดับความเป็นพลเมืองที่มีสุขภาพดี (Healthy Citizen Index)</t>
        </is>
      </c>
      <c r="G29" s="571" t="inlineStr">
        <is>
          <t>Z4 ระดับความเป็นพลเมืองที่มีสุขภาพดี (Healthy Citizen Index)</t>
        </is>
      </c>
      <c r="H29" s="570" t="inlineStr">
        <is>
          <t>P4.1</t>
        </is>
      </c>
      <c r="I29" s="569" t="inlineStr">
        <is>
          <t>พัฒนาและยกระดับการบริการทางการแพทย์</t>
        </is>
      </c>
      <c r="J29" s="569" t="inlineStr">
        <is>
          <t>P4.1 พัฒนาและยกระดับการบริการทางการแพทย์</t>
        </is>
      </c>
      <c r="K29" s="569" t="inlineStr">
        <is>
          <t>ประชาชนได้รับการบริการทางการแพทย์ที่มีคุณภาพ</t>
        </is>
      </c>
      <c r="L29" s="570" t="inlineStr">
        <is>
          <t>Y4.1</t>
        </is>
      </c>
      <c r="M29" s="569" t="inlineStr">
        <is>
          <t>ระดับความเชื่อมั่นที่มีต่อบริการทางการแพทย์</t>
        </is>
      </c>
      <c r="N29" s="571" t="inlineStr">
        <is>
          <t>Y4.1 ระดับความเชื่อมั่นที่มีต่อบริการทางการแพทย์</t>
        </is>
      </c>
      <c r="O29" s="569" t="inlineStr">
        <is>
          <t>กลยุทธ์ 4.1 ยกระดับคุณภาพและบริการทางการแพทย์ที่เป็นเลิศ</t>
        </is>
      </c>
      <c r="P29" s="570" t="inlineStr">
        <is>
          <t>X4.3</t>
        </is>
      </c>
      <c r="Q29" s="569" t="inlineStr">
        <is>
          <t>จำนวนการเปิดบริการศูนย์ความเลิศด้านสุขภาพ</t>
        </is>
      </c>
      <c r="R29" s="571" t="inlineStr">
        <is>
          <t>X4.3 จำนวนการเปิดบริการศูนย์ความเลิศด้านสุขภาพ</t>
        </is>
      </c>
    </row>
    <row r="30">
      <c r="A30" s="587" t="inlineStr">
        <is>
          <t>ยุทธศาสตร์ที่ 4</t>
        </is>
      </c>
      <c r="B30" s="587" t="inlineStr">
        <is>
          <t>สร้างพลเมืองที่มีสุขภาพดี</t>
        </is>
      </c>
      <c r="C30" s="587" t="inlineStr">
        <is>
          <t>ยุทธศาสตร์ที่ 4 สร้างพลเมืองที่มีสุขภาพดี</t>
        </is>
      </c>
      <c r="D30" s="569" t="inlineStr">
        <is>
          <t>สร้างเสริมให้ประชาชนมีสุขภาพดี (Healthy Citizen) ผ่าน MFU Regional Wellness and Medical Center</t>
        </is>
      </c>
      <c r="E30" s="566" t="inlineStr">
        <is>
          <t>Z4</t>
        </is>
      </c>
      <c r="F30" s="571" t="inlineStr">
        <is>
          <t>ระดับความเป็นพลเมืองที่มีสุขภาพดี (Healthy Citizen Index)</t>
        </is>
      </c>
      <c r="G30" s="571" t="inlineStr">
        <is>
          <t>Z4 ระดับความเป็นพลเมืองที่มีสุขภาพดี (Healthy Citizen Index)</t>
        </is>
      </c>
      <c r="H30" s="570" t="inlineStr">
        <is>
          <t>P4.2</t>
        </is>
      </c>
      <c r="I30" s="569" t="inlineStr">
        <is>
          <t>พัฒนาและยกระดับการดูแลสุขภาพให้มีประสิทธิภาพ</t>
        </is>
      </c>
      <c r="J30" s="569" t="inlineStr">
        <is>
          <t>P4.2 พัฒนาและยกระดับการดูแลสุขภาพให้มีประสิทธิภาพ</t>
        </is>
      </c>
      <c r="K30" s="569" t="inlineStr">
        <is>
          <t>ประชาชนมีศักยภาพในการดูแลสุขภาพตนเอง</t>
        </is>
      </c>
      <c r="L30" s="570" t="inlineStr">
        <is>
          <t>Y4.2</t>
        </is>
      </c>
      <c r="M30" s="569" t="inlineStr">
        <is>
          <t>ระดับการมีสุขภาพดีของประชาชน</t>
        </is>
      </c>
      <c r="N30" s="571" t="inlineStr">
        <is>
          <t>Y4.2 ระดับการมีสุขภาพดีของประชาชน</t>
        </is>
      </c>
      <c r="O30" s="569" t="inlineStr">
        <is>
          <t>กลยุทธ์ 4.2 สร้างเสริมศักยภาพประชาชนในการดูแลสุขภาพของตนเอง</t>
        </is>
      </c>
      <c r="P30" s="570" t="inlineStr">
        <is>
          <t>X4.4</t>
        </is>
      </c>
      <c r="Q30" s="569" t="inlineStr">
        <is>
          <t>ระดับความรอบรู้ด้านสุขภาพของประชาชน</t>
        </is>
      </c>
      <c r="R30" s="571" t="inlineStr">
        <is>
          <t>X4.4 ระดับความรอบรู้ด้านสุขภาพของประชาชน</t>
        </is>
      </c>
    </row>
    <row r="31">
      <c r="A31" s="587" t="inlineStr">
        <is>
          <t>ยุทธศาสตร์ที่ 4</t>
        </is>
      </c>
      <c r="B31" s="587" t="inlineStr">
        <is>
          <t>สร้างพลเมืองที่มีสุขภาพดี</t>
        </is>
      </c>
      <c r="C31" s="587" t="inlineStr">
        <is>
          <t>ยุทธศาสตร์ที่ 4 สร้างพลเมืองที่มีสุขภาพดี</t>
        </is>
      </c>
      <c r="D31" s="569" t="inlineStr">
        <is>
          <t>สร้างเสริมให้ประชาชนมีสุขภาพดี (Healthy Citizen) ผ่าน MFU Regional Wellness and Medical Center</t>
        </is>
      </c>
      <c r="E31" s="566" t="inlineStr">
        <is>
          <t>Z4</t>
        </is>
      </c>
      <c r="F31" s="571" t="inlineStr">
        <is>
          <t>ระดับความเป็นพลเมืองที่มีสุขภาพดี (Healthy Citizen Index)</t>
        </is>
      </c>
      <c r="G31" s="571" t="inlineStr">
        <is>
          <t>Z4 ระดับความเป็นพลเมืองที่มีสุขภาพดี (Healthy Citizen Index)</t>
        </is>
      </c>
      <c r="H31" s="570" t="inlineStr">
        <is>
          <t>P4.2</t>
        </is>
      </c>
      <c r="I31" s="569" t="inlineStr">
        <is>
          <t>พัฒนาและยกระดับการดูแลสุขภาพให้มีประสิทธิภาพ</t>
        </is>
      </c>
      <c r="J31" s="569" t="inlineStr">
        <is>
          <t>P4.2 พัฒนาและยกระดับการดูแลสุขภาพให้มีประสิทธิภาพ</t>
        </is>
      </c>
      <c r="K31" s="569" t="inlineStr">
        <is>
          <t>ประชาชนมีศักยภาพในการดูแลสุขภาพตนเอง</t>
        </is>
      </c>
      <c r="L31" s="570" t="inlineStr">
        <is>
          <t>Y4.2</t>
        </is>
      </c>
      <c r="M31" s="569" t="inlineStr">
        <is>
          <t>ระดับการมีสุขภาพดีของประชาชน</t>
        </is>
      </c>
      <c r="N31" s="571" t="inlineStr">
        <is>
          <t>Y4.2 ระดับการมีสุขภาพดีของประชาชน</t>
        </is>
      </c>
      <c r="O31" s="569" t="inlineStr">
        <is>
          <t>กลยุทธ์ 4.2 สร้างเสริมศักยภาพประชาชนในการดูแลสุขภาพของตนเอง</t>
        </is>
      </c>
      <c r="P31" s="570" t="inlineStr">
        <is>
          <t>X4.5</t>
        </is>
      </c>
      <c r="Q31" s="569" t="inlineStr">
        <is>
          <t>Health outcomes indicator ที่ดี</t>
        </is>
      </c>
      <c r="R31" s="571" t="inlineStr">
        <is>
          <t>X4.5 Health outcomes indicator ที่ดี</t>
        </is>
      </c>
    </row>
    <row r="32">
      <c r="A32" s="589" t="n"/>
      <c r="B32" s="589" t="n"/>
      <c r="C32" s="589" t="n"/>
      <c r="D32" s="577" t="n"/>
      <c r="E32" s="575" t="n"/>
      <c r="F32" s="576" t="n"/>
      <c r="G32" s="576" t="n"/>
      <c r="H32" s="577" t="n"/>
      <c r="I32" s="577" t="n"/>
      <c r="J32" s="577" t="n"/>
      <c r="K32" s="577" t="n"/>
      <c r="L32" s="577" t="n"/>
      <c r="M32" s="577" t="n"/>
      <c r="N32" s="576" t="n"/>
      <c r="O32" s="577" t="n"/>
      <c r="P32" s="577" t="n"/>
      <c r="Q32" s="577" t="n"/>
      <c r="R32" s="576" t="n"/>
    </row>
    <row r="33">
      <c r="A33" s="591" t="inlineStr">
        <is>
          <t>ยุทธศาสตร์ที่ 5</t>
        </is>
      </c>
      <c r="B33" s="591" t="inlineStr">
        <is>
          <t>ขับเคลื่อนมหาวิทยาลัยสู่องค์กรแห่งการเรียนรู้อย่างยั่งยืน</t>
        </is>
      </c>
      <c r="C33" s="591" t="inlineStr">
        <is>
          <t>ยุทธศาสตร์ที่ 5 ขับเคลื่อนมหาวิทยาลัยสู่องค์กรแห่งการเรียนรู้อย่างยั่งยืน</t>
        </is>
      </c>
      <c r="D33" s="569" t="inlineStr">
        <is>
          <t>ขับเคลื่อนมหาวิทยาลัยสู่สังคมแห่งการเรียนรู้ตลอดชีวิต ด้วยระบบบริหารจัดการที่มีประสิทธิภาพและยั่งยืน (ESG)</t>
        </is>
      </c>
      <c r="E33" s="566" t="inlineStr">
        <is>
          <t>Z5</t>
        </is>
      </c>
      <c r="F33" s="571" t="inlineStr">
        <is>
          <t>ระดับการบริหารจัดการสู่ความเป็นเลิศตามเกณฑ์ EdPEx (ระดับ EdPEx 400)</t>
        </is>
      </c>
      <c r="G33" s="571" t="inlineStr">
        <is>
          <t>Z5 ระดับการบริหารจัดการสู่ความเป็นเลิศตามเกณฑ์ EdPEx (ระดับ EdPEx 400)</t>
        </is>
      </c>
      <c r="H33" s="570" t="inlineStr">
        <is>
          <t>P5.1</t>
        </is>
      </c>
      <c r="I33" s="569" t="inlineStr">
        <is>
          <t>พัฒนาสมรรถนะบุคลากรอย่างยั่งยืน</t>
        </is>
      </c>
      <c r="J33" s="569" t="inlineStr">
        <is>
          <t>P5.1 พัฒนาสมรรถนะบุคลากรอย่างยั่งยืน</t>
        </is>
      </c>
      <c r="K33" s="569" t="inlineStr">
        <is>
          <t>บุคลากรมีสมรรถนะสูงและเป็นพลังสำคัญในการขับเคลื่อนองค์กร</t>
        </is>
      </c>
      <c r="L33" s="570" t="inlineStr">
        <is>
          <t>Y5.1</t>
        </is>
      </c>
      <c r="M33" s="569" t="inlineStr">
        <is>
          <t>ร้อยละของบุคลากรที่ผ่านการประเมิน PA (Performance Agreement) ระดับดีขึ้นไป</t>
        </is>
      </c>
      <c r="N33" s="571" t="inlineStr">
        <is>
          <t>Y5.1 ร้อยละของบุคลากรที่ผ่านการประเมิน PA (Performance Agreement) ระดับดีขึ้นไป</t>
        </is>
      </c>
      <c r="O33" s="569" t="inlineStr">
        <is>
          <t>กลยุทธ์ 5.1 พัฒนาบุคลากรให้มีสมรรถนะตามความคาดหวัง</t>
        </is>
      </c>
      <c r="P33" s="570" t="inlineStr">
        <is>
          <t>X5.1</t>
        </is>
      </c>
      <c r="Q33" s="569" t="inlineStr">
        <is>
          <t>ร้อยละบุคลากรที่มีผลสำเร็จตามแผนพัฒนารายบุคคล (IDP)</t>
        </is>
      </c>
      <c r="R33" s="571" t="inlineStr">
        <is>
          <t>X5.1 ร้อยละบุคลากรที่มีผลสำเร็จตามแผนพัฒนารายบุคคล (IDP)</t>
        </is>
      </c>
    </row>
    <row r="34">
      <c r="A34" s="591" t="inlineStr">
        <is>
          <t>ยุทธศาสตร์ที่ 5</t>
        </is>
      </c>
      <c r="B34" s="591" t="inlineStr">
        <is>
          <t>ขับเคลื่อนมหาวิทยาลัยสู่องค์กรแห่งการเรียนรู้อย่างยั่งยืน</t>
        </is>
      </c>
      <c r="C34" s="591" t="inlineStr">
        <is>
          <t>ยุทธศาสตร์ที่ 5 ขับเคลื่อนมหาวิทยาลัยสู่องค์กรแห่งการเรียนรู้อย่างยั่งยืน</t>
        </is>
      </c>
      <c r="D34" s="569" t="inlineStr">
        <is>
          <t>ขับเคลื่อนมหาวิทยาลัยสู่สังคมแห่งการเรียนรู้ตลอดชีวิต ด้วยระบบบริหารจัดการที่มีประสิทธิภาพและยั่งยืน (ESG)</t>
        </is>
      </c>
      <c r="E34" s="566" t="inlineStr">
        <is>
          <t>Z5</t>
        </is>
      </c>
      <c r="F34" s="571" t="inlineStr">
        <is>
          <t>ระดับการบริหารจัดการสู่ความเป็นเลิศตามเกณฑ์ EdPEx (ระดับ EdPEx 400)</t>
        </is>
      </c>
      <c r="G34" s="571" t="inlineStr">
        <is>
          <t>Z5 ระดับการบริหารจัดการสู่ความเป็นเลิศตามเกณฑ์ EdPEx (ระดับ EdPEx 400)</t>
        </is>
      </c>
      <c r="H34" s="570" t="inlineStr">
        <is>
          <t>P5.1</t>
        </is>
      </c>
      <c r="I34" s="569" t="inlineStr">
        <is>
          <t>พัฒนาสมรรถนะบุคลากรอย่างยั่งยืน</t>
        </is>
      </c>
      <c r="J34" s="569" t="inlineStr">
        <is>
          <t>P5.1 พัฒนาสมรรถนะบุคลากรอย่างยั่งยืน</t>
        </is>
      </c>
      <c r="K34" s="569" t="inlineStr">
        <is>
          <t>บุคลากรมีสมรรถนะสูงและเป็นพลังสำคัญในการขับเคลื่อนองค์กร</t>
        </is>
      </c>
      <c r="L34" s="570" t="inlineStr">
        <is>
          <t>Y5.1</t>
        </is>
      </c>
      <c r="M34" s="569" t="inlineStr">
        <is>
          <t>ร้อยละของบุคลากรที่ผ่านการประเมิน PA (Performance Agreement) ระดับดีขึ้นไป</t>
        </is>
      </c>
      <c r="N34" s="571" t="inlineStr">
        <is>
          <t>Y5.1 ร้อยละของบุคลากรที่ผ่านการประเมิน PA (Performance Agreement) ระดับดีขึ้นไป</t>
        </is>
      </c>
      <c r="O34" s="569" t="inlineStr">
        <is>
          <t>กลยุทธ์ 5.1 พัฒนาบุคลากรให้มีสมรรถนะตามความคาดหวัง</t>
        </is>
      </c>
      <c r="P34" s="570" t="inlineStr">
        <is>
          <t>X5.2</t>
        </is>
      </c>
      <c r="Q34" s="569" t="inlineStr">
        <is>
          <t>ร้อยละบุคลากรที่มีสมรรถนะเพิ่มขึ้น</t>
        </is>
      </c>
      <c r="R34" s="571" t="inlineStr">
        <is>
          <t>X5.2 ร้อยละบุคลากรที่มีสมรรถนะเพิ่มขึ้น</t>
        </is>
      </c>
    </row>
    <row r="35">
      <c r="A35" s="591" t="inlineStr">
        <is>
          <t>ยุทธศาสตร์ที่ 5</t>
        </is>
      </c>
      <c r="B35" s="591" t="inlineStr">
        <is>
          <t>ขับเคลื่อนมหาวิทยาลัยสู่องค์กรแห่งการเรียนรู้อย่างยั่งยืน</t>
        </is>
      </c>
      <c r="C35" s="591" t="inlineStr">
        <is>
          <t>ยุทธศาสตร์ที่ 5 ขับเคลื่อนมหาวิทยาลัยสู่องค์กรแห่งการเรียนรู้อย่างยั่งยืน</t>
        </is>
      </c>
      <c r="D35" s="569" t="inlineStr">
        <is>
          <t>ขับเคลื่อนมหาวิทยาลัยสู่สังคมแห่งการเรียนรู้ตลอดชีวิต ด้วยระบบบริหารจัดการที่มีประสิทธิภาพและยั่งยืน (ESG)</t>
        </is>
      </c>
      <c r="E35" s="566" t="inlineStr">
        <is>
          <t>Z5</t>
        </is>
      </c>
      <c r="F35" s="571" t="inlineStr">
        <is>
          <t>ระดับการบริหารจัดการสู่ความเป็นเลิศตามเกณฑ์ EdPEx (ระดับ EdPEx 400)</t>
        </is>
      </c>
      <c r="G35" s="571" t="inlineStr">
        <is>
          <t>Z5 ระดับการบริหารจัดการสู่ความเป็นเลิศตามเกณฑ์ EdPEx (ระดับ EdPEx 400)</t>
        </is>
      </c>
      <c r="H35" s="570" t="inlineStr">
        <is>
          <t>P5.1</t>
        </is>
      </c>
      <c r="I35" s="569" t="inlineStr">
        <is>
          <t>พัฒนาสมรรถนะบุคลากรอย่างยั่งยืน</t>
        </is>
      </c>
      <c r="J35" s="569" t="inlineStr">
        <is>
          <t>P5.1 พัฒนาสมรรถนะบุคลากรอย่างยั่งยืน</t>
        </is>
      </c>
      <c r="K35" s="569" t="inlineStr">
        <is>
          <t>บุคลากรมีสมรรถนะสูงและเป็นพลังสำคัญในการขับเคลื่อนองค์กร</t>
        </is>
      </c>
      <c r="L35" s="570" t="inlineStr">
        <is>
          <t>Y5.1</t>
        </is>
      </c>
      <c r="M35" s="569" t="inlineStr">
        <is>
          <t>ร้อยละของบุคลากรที่ผ่านการประเมิน PA (Performance Agreement) ระดับดีขึ้นไป</t>
        </is>
      </c>
      <c r="N35" s="571" t="inlineStr">
        <is>
          <t>Y5.1 ร้อยละของบุคลากรที่ผ่านการประเมิน PA (Performance Agreement) ระดับดีขึ้นไป</t>
        </is>
      </c>
      <c r="O35" s="569" t="inlineStr">
        <is>
          <t>กลยุทธ์ 5.2 สร้างระบบนิเวศการเรียนรู้เพื่อความเป็นอยู่ที่ดี</t>
        </is>
      </c>
      <c r="P35" s="570" t="inlineStr">
        <is>
          <t>X5.3</t>
        </is>
      </c>
      <c r="Q35" s="569" t="inlineStr">
        <is>
          <t>ดัชนีประสบการณ์และคุณภาพชีวิตการทำงานของบุคลากร (MFU Employee Experience Index: MFU-EXI)</t>
        </is>
      </c>
      <c r="R35" s="571" t="inlineStr">
        <is>
          <t>X5.3 ดัชนีประสบการณ์และคุณภาพชีวิตการทำงานของบุคลากร (MFU Employee Experience Index: MFU-EXI)</t>
        </is>
      </c>
    </row>
    <row r="36">
      <c r="A36" s="591" t="inlineStr">
        <is>
          <t>ยุทธศาสตร์ที่ 5</t>
        </is>
      </c>
      <c r="B36" s="591" t="inlineStr">
        <is>
          <t>ขับเคลื่อนมหาวิทยาลัยสู่องค์กรแห่งการเรียนรู้อย่างยั่งยืน</t>
        </is>
      </c>
      <c r="C36" s="591" t="inlineStr">
        <is>
          <t>ยุทธศาสตร์ที่ 5 ขับเคลื่อนมหาวิทยาลัยสู่องค์กรแห่งการเรียนรู้อย่างยั่งยืน</t>
        </is>
      </c>
      <c r="D36" s="569" t="inlineStr">
        <is>
          <t>ขับเคลื่อนมหาวิทยาลัยสู่สังคมแห่งการเรียนรู้ตลอดชีวิต ด้วยระบบบริหารจัดการที่มีประสิทธิภาพและยั่งยืน (ESG)</t>
        </is>
      </c>
      <c r="E36" s="566" t="inlineStr">
        <is>
          <t>Z5</t>
        </is>
      </c>
      <c r="F36" s="571" t="inlineStr">
        <is>
          <t>ระดับการบริหารจัดการสู่ความเป็นเลิศตามเกณฑ์ EdPEx (ระดับ EdPEx 400)</t>
        </is>
      </c>
      <c r="G36" s="571" t="inlineStr">
        <is>
          <t>Z5 ระดับการบริหารจัดการสู่ความเป็นเลิศตามเกณฑ์ EdPEx (ระดับ EdPEx 400)</t>
        </is>
      </c>
      <c r="H36" s="570" t="inlineStr">
        <is>
          <t>P5.2</t>
        </is>
      </c>
      <c r="I36" s="569" t="inlineStr">
        <is>
          <t>บริหารจัดการทรัพยากรอย่างมีประสิทธิภาพ</t>
        </is>
      </c>
      <c r="J36" s="569" t="inlineStr">
        <is>
          <t>P5.2 บริหารจัดการทรัพยากรอย่างมีประสิทธิภาพ</t>
        </is>
      </c>
      <c r="K36" s="569" t="inlineStr">
        <is>
          <t>ยกระดับการบริหารจัดการที่มีประสิทธิภาพ และยั่งยืน (ESG)</t>
        </is>
      </c>
      <c r="L36" s="570" t="inlineStr">
        <is>
          <t>Y5.2</t>
        </is>
      </c>
      <c r="M36" s="569" t="inlineStr">
        <is>
          <t>ดัชนีความเป็นเลิศด้านการบริหารจัดการ (MFU Management Excellence Index: MEI)</t>
        </is>
      </c>
      <c r="N36" s="571" t="inlineStr">
        <is>
          <t>Y5.2 ดัชนีความเป็นเลิศด้านการบริหารจัดการ (MFU Management Excellence Index: MEI)</t>
        </is>
      </c>
      <c r="O36" s="569" t="inlineStr">
        <is>
          <t>กลยุทธ์ 5.3 ยกระดับระบบบริหารจัดการอัจฉริยะ (Smart Governance)</t>
        </is>
      </c>
      <c r="P36" s="570" t="inlineStr">
        <is>
          <t>X5.4</t>
        </is>
      </c>
      <c r="Q36" s="569" t="inlineStr">
        <is>
          <t>ระดับคุณภาพการบริหารจัดการอัจฉริยะและธรรมาภิบาล</t>
        </is>
      </c>
      <c r="R36" s="571" t="inlineStr">
        <is>
          <t>X5.4 ระดับคุณภาพการบริหารจัดการอัจฉริยะและธรรมาภิบาล</t>
        </is>
      </c>
    </row>
    <row r="37">
      <c r="A37" s="591" t="inlineStr">
        <is>
          <t>ยุทธศาสตร์ที่ 5</t>
        </is>
      </c>
      <c r="B37" s="591" t="inlineStr">
        <is>
          <t>ขับเคลื่อนมหาวิทยาลัยสู่องค์กรแห่งการเรียนรู้อย่างยั่งยืน</t>
        </is>
      </c>
      <c r="C37" s="591" t="inlineStr">
        <is>
          <t>ยุทธศาสตร์ที่ 5 ขับเคลื่อนมหาวิทยาลัยสู่องค์กรแห่งการเรียนรู้อย่างยั่งยืน</t>
        </is>
      </c>
      <c r="D37" s="569" t="inlineStr">
        <is>
          <t>ขับเคลื่อนมหาวิทยาลัยสู่สังคมแห่งการเรียนรู้ตลอดชีวิต ด้วยระบบบริหารจัดการที่มีประสิทธิภาพและยั่งยืน (ESG)</t>
        </is>
      </c>
      <c r="E37" s="566" t="inlineStr">
        <is>
          <t>Z5</t>
        </is>
      </c>
      <c r="F37" s="571" t="inlineStr">
        <is>
          <t>ระดับการบริหารจัดการสู่ความเป็นเลิศตามเกณฑ์ EdPEx (ระดับ EdPEx 400)</t>
        </is>
      </c>
      <c r="G37" s="571" t="inlineStr">
        <is>
          <t>Z5 ระดับการบริหารจัดการสู่ความเป็นเลิศตามเกณฑ์ EdPEx (ระดับ EdPEx 400)</t>
        </is>
      </c>
      <c r="H37" s="570" t="inlineStr">
        <is>
          <t>P5.2</t>
        </is>
      </c>
      <c r="I37" s="569" t="inlineStr">
        <is>
          <t>บริหารจัดการทรัพยากรอย่างมีประสิทธิภาพ</t>
        </is>
      </c>
      <c r="J37" s="569" t="inlineStr">
        <is>
          <t>P5.2 บริหารจัดการทรัพยากรอย่างมีประสิทธิภาพ</t>
        </is>
      </c>
      <c r="K37" s="569" t="inlineStr">
        <is>
          <t>ยกระดับการบริหารจัดการที่มีประสิทธิภาพ และยั่งยืน (ESG)</t>
        </is>
      </c>
      <c r="L37" s="570" t="inlineStr">
        <is>
          <t>Y5.2</t>
        </is>
      </c>
      <c r="M37" s="569" t="inlineStr">
        <is>
          <t>ดัชนีความเป็นเลิศด้านการบริหารจัดการ (MFU Management Excellence Index: MEI)</t>
        </is>
      </c>
      <c r="N37" s="571" t="inlineStr">
        <is>
          <t>Y5.2 ดัชนีความเป็นเลิศด้านการบริหารจัดการ (MFU Management Excellence Index: MEI)</t>
        </is>
      </c>
      <c r="O37" s="569" t="inlineStr">
        <is>
          <t>กลยุทธ์ 5.4 ขับเคลื่อนองค์กรสู่ Net Zero Campus</t>
        </is>
      </c>
      <c r="P37" s="570" t="inlineStr">
        <is>
          <t>X5.5</t>
        </is>
      </c>
      <c r="Q37" s="569" t="inlineStr">
        <is>
          <t>ระดับการบริหารจัดการสิ่งแวดล้อมและความยั่งยืนขององค์กร</t>
        </is>
      </c>
      <c r="R37" s="571" t="inlineStr">
        <is>
          <t>X5.5 ระดับการบริหารจัดการสิ่งแวดล้อมและความยั่งยืนขององค์กร</t>
        </is>
      </c>
    </row>
    <row r="38">
      <c r="A38" s="591" t="inlineStr">
        <is>
          <t>ยุทธศาสตร์ที่ 5</t>
        </is>
      </c>
      <c r="B38" s="591" t="inlineStr">
        <is>
          <t>ขับเคลื่อนมหาวิทยาลัยสู่องค์กรแห่งการเรียนรู้อย่างยั่งยืน</t>
        </is>
      </c>
      <c r="C38" s="591" t="inlineStr">
        <is>
          <t>ยุทธศาสตร์ที่ 5 ขับเคลื่อนมหาวิทยาลัยสู่องค์กรแห่งการเรียนรู้อย่างยั่งยืน</t>
        </is>
      </c>
      <c r="D38" s="569" t="inlineStr">
        <is>
          <t>ขับเคลื่อนมหาวิทยาลัยสู่สังคมแห่งการเรียนรู้ตลอดชีวิต ด้วยระบบบริหารจัดการที่มีประสิทธิภาพและยั่งยืน (ESG)</t>
        </is>
      </c>
      <c r="E38" s="566" t="inlineStr">
        <is>
          <t>Z5</t>
        </is>
      </c>
      <c r="F38" s="571" t="inlineStr">
        <is>
          <t>ระดับการบริหารจัดการสู่ความเป็นเลิศตามเกณฑ์ EdPEx (ระดับ EdPEx 400)</t>
        </is>
      </c>
      <c r="G38" s="571" t="inlineStr">
        <is>
          <t>Z5 ระดับการบริหารจัดการสู่ความเป็นเลิศตามเกณฑ์ EdPEx (ระดับ EdPEx 400)</t>
        </is>
      </c>
      <c r="H38" s="570" t="inlineStr">
        <is>
          <t>P5.2</t>
        </is>
      </c>
      <c r="I38" s="569" t="inlineStr">
        <is>
          <t>บริหารจัดการทรัพยากรอย่างมีประสิทธิภาพ</t>
        </is>
      </c>
      <c r="J38" s="569" t="inlineStr">
        <is>
          <t>P5.2 บริหารจัดการทรัพยากรอย่างมีประสิทธิภาพ</t>
        </is>
      </c>
      <c r="K38" s="569" t="inlineStr">
        <is>
          <t>ยกระดับการบริหารจัดการที่มีประสิทธิภาพ และยั่งยืน (ESG)</t>
        </is>
      </c>
      <c r="L38" s="570" t="inlineStr">
        <is>
          <t>Y5.2</t>
        </is>
      </c>
      <c r="M38" s="569" t="inlineStr">
        <is>
          <t>ดัชนีความเป็นเลิศด้านการบริหารจัดการ (MFU Management Excellence Index: MEI)</t>
        </is>
      </c>
      <c r="N38" s="571" t="inlineStr">
        <is>
          <t>Y5.2 ดัชนีความเป็นเลิศด้านการบริหารจัดการ (MFU Management Excellence Index: MEI)</t>
        </is>
      </c>
      <c r="O38" s="569" t="inlineStr">
        <is>
          <t>กลยุทธ์ 5.5 เสริมสร้างความมั่นคงทางการเงินอย่างยั่งยืน</t>
        </is>
      </c>
      <c r="P38" s="570" t="inlineStr">
        <is>
          <t>X5.6</t>
        </is>
      </c>
      <c r="Q38" s="569" t="inlineStr">
        <is>
          <t>ระดับความมั่นคงและประสิทธิภาพทางการเงิน</t>
        </is>
      </c>
      <c r="R38" s="571" t="inlineStr">
        <is>
          <t>X5.6 ระดับความมั่นคงและประสิทธิภาพทางการเงิน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2026-03-04T07:56:28Z</dcterms:created>
  <dcterms:modified xmlns:dcterms="http://purl.org/dc/terms/" xmlns:xsi="http://www.w3.org/2001/XMLSchema-instance" xsi:type="dcterms:W3CDTF">2026-03-04T08:01:16Z</dcterms:modified>
</cp:coreProperties>
</file>